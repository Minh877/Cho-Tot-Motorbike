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pivotTables/pivotTable1.xml" ContentType="application/vnd.openxmlformats-officedocument.spreadsheetml.pivotTab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#Tự học DA\"/>
    </mc:Choice>
  </mc:AlternateContent>
  <xr:revisionPtr revIDLastSave="0" documentId="13_ncr:1_{F3AB9505-1CC5-47F2-9462-96C2FD9577FC}" xr6:coauthVersionLast="47" xr6:coauthVersionMax="47" xr10:uidLastSave="{00000000-0000-0000-0000-000000000000}"/>
  <bookViews>
    <workbookView xWindow="0" yWindow="0" windowWidth="23040" windowHeight="12504" tabRatio="615" xr2:uid="{BEE1E0F4-7D2A-4661-8C8E-0AFCC3A2E056}"/>
  </bookViews>
  <sheets>
    <sheet name="Home" sheetId="3" r:id="rId1"/>
    <sheet name="Setup" sheetId="2" r:id="rId2"/>
    <sheet name="DSNV" sheetId="1" r:id="rId3"/>
    <sheet name="T1" sheetId="4" r:id="rId4"/>
    <sheet name="T2" sheetId="6" r:id="rId5"/>
    <sheet name="T3" sheetId="7" r:id="rId6"/>
    <sheet name="T4" sheetId="8" r:id="rId7"/>
    <sheet name="T5" sheetId="9" r:id="rId8"/>
    <sheet name="T6" sheetId="10" r:id="rId9"/>
    <sheet name="T7" sheetId="11" r:id="rId10"/>
    <sheet name="T8" sheetId="12" r:id="rId11"/>
    <sheet name="T9" sheetId="13" r:id="rId12"/>
    <sheet name="T10" sheetId="14" r:id="rId13"/>
    <sheet name="T11" sheetId="15" r:id="rId14"/>
    <sheet name="T12" sheetId="16" r:id="rId15"/>
    <sheet name="PivotTable" sheetId="23" r:id="rId16"/>
    <sheet name="RP_All" sheetId="17" r:id="rId17"/>
    <sheet name="RP_1" sheetId="20" r:id="rId18"/>
    <sheet name="Payroll" sheetId="21" r:id="rId19"/>
    <sheet name="Paycheck" sheetId="22" r:id="rId20"/>
    <sheet name="Calendar" sheetId="5" r:id="rId21"/>
  </sheets>
  <externalReferences>
    <externalReference r:id="rId22"/>
  </externalReferences>
  <definedNames>
    <definedName name="_xlnm._FilterDatabase" localSheetId="3" hidden="1">'T1'!$C$11:$BU$54</definedName>
    <definedName name="_xlnm._FilterDatabase" localSheetId="12" hidden="1">'T10'!$C$11:$BU$54</definedName>
    <definedName name="_xlnm._FilterDatabase" localSheetId="13" hidden="1">'T11'!$C$11:$BU$54</definedName>
    <definedName name="_xlnm._FilterDatabase" localSheetId="14" hidden="1">'T12'!$C$11:$BU$54</definedName>
    <definedName name="_xlnm._FilterDatabase" localSheetId="4" hidden="1">'T2'!$C$11:$BU$54</definedName>
    <definedName name="_xlnm._FilterDatabase" localSheetId="5" hidden="1">'T3'!$C$11:$BU$54</definedName>
    <definedName name="_xlnm._FilterDatabase" localSheetId="6" hidden="1">'T4'!$C$11:$BU$54</definedName>
    <definedName name="_xlnm._FilterDatabase" localSheetId="7" hidden="1">'T5'!$C$11:$BU$54</definedName>
    <definedName name="_xlnm._FilterDatabase" localSheetId="8" hidden="1">'T6'!$C$11:$BU$54</definedName>
    <definedName name="_xlnm._FilterDatabase" localSheetId="9" hidden="1">'T7'!$C$11:$BU$54</definedName>
    <definedName name="_xlnm._FilterDatabase" localSheetId="10" hidden="1">'T8'!$C$11:$BU$54</definedName>
    <definedName name="_xlnm._FilterDatabase" localSheetId="11" hidden="1">'T9'!$C$11:$BU$54</definedName>
    <definedName name="ngayle">[1]Setup!$K$19:$K$28</definedName>
    <definedName name="workingday">[1]Setup!$H$18:$I$24</definedName>
  </definedNames>
  <calcPr calcId="191029"/>
  <pivotCaches>
    <pivotCache cacheId="0" r:id="rId2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8" i="22" l="1"/>
  <c r="E39" i="22"/>
  <c r="E40" i="22"/>
  <c r="E32" i="22"/>
  <c r="F25" i="22"/>
  <c r="F47" i="22" s="1"/>
  <c r="D25" i="22"/>
  <c r="D47" i="22" s="1"/>
  <c r="C8" i="22"/>
  <c r="C30" i="22" s="1"/>
  <c r="F64" i="21"/>
  <c r="L64" i="21"/>
  <c r="C11" i="21"/>
  <c r="K24" i="21" a="1"/>
  <c r="K19" i="21" a="1"/>
  <c r="G26" i="21" a="1"/>
  <c r="K53" i="21" a="1"/>
  <c r="K48" i="21" a="1"/>
  <c r="I35" i="21" a="1"/>
  <c r="I45" i="21" a="1"/>
  <c r="G24" i="21" a="1"/>
  <c r="G46" i="21" a="1"/>
  <c r="G35" i="21" a="1"/>
  <c r="I47" i="21" a="1"/>
  <c r="G53" i="21" a="1"/>
  <c r="K45" i="21" a="1"/>
  <c r="I49" i="21" a="1"/>
  <c r="K38" i="21" a="1"/>
  <c r="I46" i="21" a="1"/>
  <c r="K42" i="21" a="1"/>
  <c r="G44" i="21" a="1"/>
  <c r="G40" i="21" a="1"/>
  <c r="K49" i="21" a="1"/>
  <c r="K43" i="21" a="1"/>
  <c r="K52" i="21" a="1"/>
  <c r="G18" i="21" a="1"/>
  <c r="K46" i="21" a="1"/>
  <c r="K20" i="21" a="1"/>
  <c r="I34" i="21" a="1"/>
  <c r="G45" i="21" a="1"/>
  <c r="G23" i="21" a="1"/>
  <c r="K44" i="21" a="1"/>
  <c r="I44" i="21" a="1"/>
  <c r="G42" i="21" a="1"/>
  <c r="G31" i="21" a="1"/>
  <c r="G27" i="21" a="1"/>
  <c r="K34" i="21" a="1"/>
  <c r="I55" i="21" a="1"/>
  <c r="G37" i="21" a="1"/>
  <c r="G34" i="21" a="1"/>
  <c r="I51" i="21" a="1"/>
  <c r="K33" i="21" a="1"/>
  <c r="G32" i="21" a="1"/>
  <c r="I52" i="21" a="1"/>
  <c r="I22" i="21" a="1"/>
  <c r="G30" i="21" a="1"/>
  <c r="G52" i="21" a="1"/>
  <c r="K41" i="21" a="1"/>
  <c r="K39" i="21" a="1"/>
  <c r="K37" i="21" a="1"/>
  <c r="K47" i="21" a="1"/>
  <c r="K28" i="21" a="1"/>
  <c r="G48" i="21" a="1"/>
  <c r="I26" i="21" a="1"/>
  <c r="K54" i="21" a="1"/>
  <c r="I30" i="21" a="1"/>
  <c r="G55" i="21" a="1"/>
  <c r="K31" i="21" a="1"/>
  <c r="I50" i="21" a="1"/>
  <c r="I23" i="21" a="1"/>
  <c r="I24" i="21" a="1"/>
  <c r="I33" i="21" a="1"/>
  <c r="K18" i="21" a="1"/>
  <c r="I21" i="21" a="1"/>
  <c r="K16" i="21" a="1"/>
  <c r="G21" i="21" a="1"/>
  <c r="I27" i="21" a="1"/>
  <c r="I42" i="21" a="1"/>
  <c r="G41" i="21" a="1"/>
  <c r="K36" i="21" a="1"/>
  <c r="I28" i="21" a="1"/>
  <c r="I16" i="21" a="1"/>
  <c r="I48" i="21" a="1"/>
  <c r="G33" i="21" a="1"/>
  <c r="G22" i="21" a="1"/>
  <c r="G16" i="21" a="1"/>
  <c r="K55" i="21" a="1"/>
  <c r="G19" i="21" a="1"/>
  <c r="K32" i="21" a="1"/>
  <c r="I40" i="21" a="1"/>
  <c r="K23" i="21" a="1"/>
  <c r="K29" i="21" a="1"/>
  <c r="I38" i="21" a="1"/>
  <c r="K21" i="21" a="1"/>
  <c r="K51" i="21" a="1"/>
  <c r="I37" i="21" a="1"/>
  <c r="G36" i="21" a="1"/>
  <c r="G47" i="21" a="1"/>
  <c r="I31" i="21" a="1"/>
  <c r="I36" i="21" a="1"/>
  <c r="G50" i="21" a="1"/>
  <c r="G29" i="21" a="1"/>
  <c r="I39" i="21" a="1"/>
  <c r="I54" i="21" a="1"/>
  <c r="G38" i="21" a="1"/>
  <c r="G54" i="21" a="1"/>
  <c r="I25" i="21" a="1"/>
  <c r="K26" i="21" a="1"/>
  <c r="K35" i="21" a="1"/>
  <c r="G28" i="21" a="1"/>
  <c r="G25" i="21" a="1"/>
  <c r="I17" i="21" a="1"/>
  <c r="I29" i="21" a="1"/>
  <c r="G20" i="21" a="1"/>
  <c r="G17" i="21" a="1"/>
  <c r="K30" i="21" a="1"/>
  <c r="G43" i="21" a="1"/>
  <c r="K27" i="21" a="1"/>
  <c r="K25" i="21" a="1"/>
  <c r="I53" i="21" a="1"/>
  <c r="I20" i="21" a="1"/>
  <c r="I41" i="21" a="1"/>
  <c r="G51" i="21" a="1"/>
  <c r="G49" i="21" a="1"/>
  <c r="K17" i="21" a="1"/>
  <c r="K50" i="21" a="1"/>
  <c r="G39" i="21" a="1"/>
  <c r="I43" i="21" a="1"/>
  <c r="K22" i="21" a="1"/>
  <c r="I18" i="21" a="1"/>
  <c r="I19" i="21" a="1"/>
  <c r="K40" i="21" a="1"/>
  <c r="I32" i="21" a="1"/>
  <c r="K51" i="21" l="1"/>
  <c r="K43" i="21"/>
  <c r="K39" i="21"/>
  <c r="K54" i="21"/>
  <c r="K50" i="21"/>
  <c r="K46" i="21"/>
  <c r="K42" i="21"/>
  <c r="K40" i="21"/>
  <c r="K36" i="21"/>
  <c r="K34" i="21"/>
  <c r="K32" i="21"/>
  <c r="K30" i="21"/>
  <c r="K28" i="21"/>
  <c r="K26" i="21"/>
  <c r="K24" i="21"/>
  <c r="K22" i="21"/>
  <c r="K20" i="21"/>
  <c r="K18" i="21"/>
  <c r="K53" i="21"/>
  <c r="K45" i="21"/>
  <c r="K37" i="21"/>
  <c r="K52" i="21"/>
  <c r="K48" i="21"/>
  <c r="K44" i="21"/>
  <c r="K38" i="21"/>
  <c r="K55" i="21"/>
  <c r="K49" i="21"/>
  <c r="K47" i="21"/>
  <c r="K41" i="21"/>
  <c r="K35" i="21"/>
  <c r="K33" i="21"/>
  <c r="K31" i="21"/>
  <c r="K29" i="21"/>
  <c r="K27" i="21"/>
  <c r="K25" i="21"/>
  <c r="K23" i="21"/>
  <c r="K21" i="21"/>
  <c r="K19" i="21"/>
  <c r="K17" i="21"/>
  <c r="K16" i="21"/>
  <c r="I55" i="21"/>
  <c r="I49" i="21"/>
  <c r="I43" i="21"/>
  <c r="I35" i="21"/>
  <c r="I54" i="21"/>
  <c r="I50" i="21"/>
  <c r="I46" i="21"/>
  <c r="I44" i="21"/>
  <c r="I42" i="21"/>
  <c r="I38" i="21"/>
  <c r="I36" i="21"/>
  <c r="I34" i="21"/>
  <c r="I32" i="21"/>
  <c r="I30" i="21"/>
  <c r="I28" i="21"/>
  <c r="I26" i="21"/>
  <c r="I24" i="21"/>
  <c r="I22" i="21"/>
  <c r="I20" i="21"/>
  <c r="I18" i="21"/>
  <c r="I53" i="21"/>
  <c r="I47" i="21"/>
  <c r="I41" i="21"/>
  <c r="I37" i="21"/>
  <c r="I52" i="21"/>
  <c r="I48" i="21"/>
  <c r="I40" i="21"/>
  <c r="I51" i="21"/>
  <c r="I45" i="21"/>
  <c r="I39" i="21"/>
  <c r="I33" i="21"/>
  <c r="I31" i="21"/>
  <c r="I29" i="21"/>
  <c r="I27" i="21"/>
  <c r="I25" i="21"/>
  <c r="I23" i="21"/>
  <c r="I21" i="21"/>
  <c r="I19" i="21"/>
  <c r="I17" i="21"/>
  <c r="I16" i="21"/>
  <c r="G51" i="21"/>
  <c r="G45" i="21"/>
  <c r="G39" i="21"/>
  <c r="G33" i="21"/>
  <c r="G54" i="21"/>
  <c r="G50" i="21"/>
  <c r="G48" i="21"/>
  <c r="G44" i="21"/>
  <c r="G42" i="21"/>
  <c r="G40" i="21"/>
  <c r="G38" i="21"/>
  <c r="G36" i="21"/>
  <c r="G34" i="21"/>
  <c r="G32" i="21"/>
  <c r="G30" i="21"/>
  <c r="G28" i="21"/>
  <c r="G26" i="21"/>
  <c r="G24" i="21"/>
  <c r="G22" i="21"/>
  <c r="G20" i="21"/>
  <c r="G18" i="21"/>
  <c r="G55" i="21"/>
  <c r="G49" i="21"/>
  <c r="G43" i="21"/>
  <c r="G37" i="21"/>
  <c r="G31" i="21"/>
  <c r="G52" i="21"/>
  <c r="G46" i="21"/>
  <c r="G53" i="21"/>
  <c r="G47" i="21"/>
  <c r="G41" i="21"/>
  <c r="G35" i="21"/>
  <c r="G29" i="21"/>
  <c r="G27" i="21"/>
  <c r="G25" i="21"/>
  <c r="G23" i="21"/>
  <c r="G21" i="21"/>
  <c r="G19" i="21"/>
  <c r="G17" i="21"/>
  <c r="G16" i="21"/>
  <c r="L58" i="21"/>
  <c r="N5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40" i="21"/>
  <c r="F41" i="21"/>
  <c r="F42" i="21"/>
  <c r="F43" i="21"/>
  <c r="F44" i="21"/>
  <c r="F45" i="21"/>
  <c r="F46" i="21"/>
  <c r="F47" i="21"/>
  <c r="F48" i="21"/>
  <c r="F49" i="21"/>
  <c r="F50" i="21"/>
  <c r="F51" i="21"/>
  <c r="F52" i="21"/>
  <c r="F53" i="21"/>
  <c r="F54" i="21"/>
  <c r="F55" i="21"/>
  <c r="F16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E17" i="21"/>
  <c r="D17" i="21" s="1"/>
  <c r="E18" i="21"/>
  <c r="D18" i="21" s="1"/>
  <c r="E19" i="21"/>
  <c r="D19" i="21" s="1"/>
  <c r="E20" i="21"/>
  <c r="D20" i="21" s="1"/>
  <c r="E21" i="21"/>
  <c r="D21" i="21" s="1"/>
  <c r="E22" i="21"/>
  <c r="D22" i="21" s="1"/>
  <c r="E23" i="21"/>
  <c r="D23" i="21" s="1"/>
  <c r="E24" i="21"/>
  <c r="D24" i="21" s="1"/>
  <c r="E25" i="21"/>
  <c r="D25" i="21" s="1"/>
  <c r="E26" i="21"/>
  <c r="D26" i="21" s="1"/>
  <c r="E27" i="21"/>
  <c r="D27" i="21" s="1"/>
  <c r="E28" i="21"/>
  <c r="D28" i="21" s="1"/>
  <c r="E29" i="21"/>
  <c r="D29" i="21" s="1"/>
  <c r="E30" i="21"/>
  <c r="D30" i="21" s="1"/>
  <c r="E31" i="21"/>
  <c r="D31" i="21" s="1"/>
  <c r="E32" i="21"/>
  <c r="D32" i="21" s="1"/>
  <c r="E33" i="21"/>
  <c r="D33" i="21" s="1"/>
  <c r="E34" i="21"/>
  <c r="D34" i="21" s="1"/>
  <c r="E35" i="21"/>
  <c r="D35" i="21" s="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16" i="21"/>
  <c r="D16" i="21" s="1"/>
  <c r="D10" i="20"/>
  <c r="D9" i="20"/>
  <c r="E48" i="17"/>
  <c r="E47" i="17"/>
  <c r="E46" i="17"/>
  <c r="E45" i="17"/>
  <c r="E44" i="17"/>
  <c r="E43" i="17"/>
  <c r="E42" i="17"/>
  <c r="E41" i="17"/>
  <c r="E40" i="17"/>
  <c r="E39" i="17"/>
  <c r="E38" i="17"/>
  <c r="E37" i="17"/>
  <c r="E36" i="17"/>
  <c r="E35" i="17"/>
  <c r="E34" i="17"/>
  <c r="E33" i="17"/>
  <c r="E32" i="17"/>
  <c r="E31" i="17"/>
  <c r="E30" i="17"/>
  <c r="E29" i="17"/>
  <c r="E28" i="17"/>
  <c r="E27" i="17"/>
  <c r="E26" i="17"/>
  <c r="E25" i="17"/>
  <c r="E24" i="17"/>
  <c r="E23" i="17"/>
  <c r="E22" i="17"/>
  <c r="E21" i="17"/>
  <c r="E20" i="17"/>
  <c r="E19" i="17"/>
  <c r="E18" i="17"/>
  <c r="E17" i="17"/>
  <c r="E16" i="17"/>
  <c r="E15" i="17"/>
  <c r="E14" i="17"/>
  <c r="E13" i="17"/>
  <c r="E12" i="17"/>
  <c r="E11" i="17"/>
  <c r="E10" i="17"/>
  <c r="E9" i="17"/>
  <c r="E53" i="16"/>
  <c r="E52" i="16"/>
  <c r="E51" i="16"/>
  <c r="E50" i="16"/>
  <c r="E49" i="16"/>
  <c r="E48" i="16"/>
  <c r="E47" i="16"/>
  <c r="E46" i="16"/>
  <c r="E45" i="16"/>
  <c r="E44" i="16"/>
  <c r="E43" i="16"/>
  <c r="E42" i="16"/>
  <c r="E41" i="16"/>
  <c r="E40" i="16"/>
  <c r="E39" i="16"/>
  <c r="E38" i="16"/>
  <c r="E37" i="16"/>
  <c r="E36" i="16"/>
  <c r="E35" i="16"/>
  <c r="E34" i="16"/>
  <c r="E33" i="16"/>
  <c r="E32" i="16"/>
  <c r="E31" i="16"/>
  <c r="E30" i="16"/>
  <c r="E29" i="16"/>
  <c r="E28" i="16"/>
  <c r="E27" i="16"/>
  <c r="E26" i="16"/>
  <c r="E25" i="16"/>
  <c r="E24" i="16"/>
  <c r="E23" i="16"/>
  <c r="E22" i="16"/>
  <c r="E21" i="16"/>
  <c r="E20" i="16"/>
  <c r="E19" i="16"/>
  <c r="E18" i="16"/>
  <c r="E17" i="16"/>
  <c r="E16" i="16"/>
  <c r="E15" i="16"/>
  <c r="E14" i="16"/>
  <c r="E53" i="15"/>
  <c r="E52" i="15"/>
  <c r="E51" i="15"/>
  <c r="E50" i="15"/>
  <c r="E49" i="15"/>
  <c r="E48" i="15"/>
  <c r="E47" i="15"/>
  <c r="E46" i="15"/>
  <c r="E45" i="15"/>
  <c r="E44" i="15"/>
  <c r="E43" i="15"/>
  <c r="E42" i="15"/>
  <c r="E41" i="15"/>
  <c r="E40" i="15"/>
  <c r="E39" i="15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53" i="14"/>
  <c r="E52" i="14"/>
  <c r="E51" i="14"/>
  <c r="E50" i="14"/>
  <c r="E49" i="14"/>
  <c r="E48" i="14"/>
  <c r="E47" i="14"/>
  <c r="E46" i="14"/>
  <c r="E45" i="14"/>
  <c r="E44" i="14"/>
  <c r="E43" i="14"/>
  <c r="E42" i="14"/>
  <c r="E41" i="14"/>
  <c r="E40" i="14"/>
  <c r="E39" i="14"/>
  <c r="E38" i="14"/>
  <c r="E37" i="14"/>
  <c r="E36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E14" i="14"/>
  <c r="E53" i="13"/>
  <c r="E52" i="13"/>
  <c r="E51" i="13"/>
  <c r="E50" i="13"/>
  <c r="E49" i="13"/>
  <c r="E48" i="13"/>
  <c r="E47" i="13"/>
  <c r="E46" i="13"/>
  <c r="E45" i="13"/>
  <c r="E44" i="13"/>
  <c r="E43" i="13"/>
  <c r="E42" i="13"/>
  <c r="E41" i="13"/>
  <c r="E40" i="13"/>
  <c r="E39" i="13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53" i="11"/>
  <c r="E52" i="11"/>
  <c r="E51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14" i="4"/>
  <c r="H9" i="20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53" i="8"/>
  <c r="D52" i="8"/>
  <c r="D51" i="8"/>
  <c r="D50" i="8"/>
  <c r="D49" i="8"/>
  <c r="D48" i="8"/>
  <c r="D4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53" i="10"/>
  <c r="D52" i="10"/>
  <c r="D51" i="10"/>
  <c r="D50" i="10"/>
  <c r="D49" i="10"/>
  <c r="D48" i="10"/>
  <c r="D47" i="10"/>
  <c r="D46" i="10"/>
  <c r="D45" i="10"/>
  <c r="D44" i="10"/>
  <c r="D43" i="10"/>
  <c r="D42" i="10"/>
  <c r="D41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53" i="11"/>
  <c r="D52" i="11"/>
  <c r="D51" i="11"/>
  <c r="D50" i="11"/>
  <c r="D49" i="11"/>
  <c r="D48" i="11"/>
  <c r="D47" i="11"/>
  <c r="D46" i="11"/>
  <c r="D45" i="11"/>
  <c r="D44" i="11"/>
  <c r="D43" i="11"/>
  <c r="D42" i="11"/>
  <c r="D41" i="11"/>
  <c r="D40" i="11"/>
  <c r="D39" i="11"/>
  <c r="D38" i="11"/>
  <c r="D37" i="11"/>
  <c r="D36" i="11"/>
  <c r="D35" i="11"/>
  <c r="D34" i="11"/>
  <c r="D33" i="11"/>
  <c r="D32" i="11"/>
  <c r="D31" i="11"/>
  <c r="D3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53" i="12"/>
  <c r="D52" i="12"/>
  <c r="D51" i="12"/>
  <c r="D50" i="12"/>
  <c r="D49" i="12"/>
  <c r="D48" i="12"/>
  <c r="D47" i="12"/>
  <c r="D46" i="12"/>
  <c r="D45" i="12"/>
  <c r="D44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53" i="14"/>
  <c r="D52" i="14"/>
  <c r="D51" i="14"/>
  <c r="D50" i="14"/>
  <c r="D49" i="14"/>
  <c r="D48" i="14"/>
  <c r="D47" i="14"/>
  <c r="D46" i="14"/>
  <c r="D45" i="14"/>
  <c r="D44" i="14"/>
  <c r="D43" i="14"/>
  <c r="D42" i="14"/>
  <c r="D41" i="14"/>
  <c r="D40" i="14"/>
  <c r="D39" i="14"/>
  <c r="D38" i="14"/>
  <c r="D37" i="14"/>
  <c r="D36" i="14"/>
  <c r="D35" i="14"/>
  <c r="D34" i="14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D20" i="14"/>
  <c r="D19" i="14"/>
  <c r="D18" i="14"/>
  <c r="D17" i="14"/>
  <c r="D16" i="14"/>
  <c r="D15" i="14"/>
  <c r="D14" i="14"/>
  <c r="D53" i="15"/>
  <c r="D52" i="15"/>
  <c r="D51" i="15"/>
  <c r="D50" i="15"/>
  <c r="D49" i="15"/>
  <c r="D48" i="15"/>
  <c r="D47" i="15"/>
  <c r="D46" i="15"/>
  <c r="D45" i="15"/>
  <c r="D44" i="15"/>
  <c r="D43" i="15"/>
  <c r="D42" i="15"/>
  <c r="D41" i="15"/>
  <c r="D40" i="15"/>
  <c r="D39" i="15"/>
  <c r="D38" i="15"/>
  <c r="D37" i="15"/>
  <c r="D36" i="15"/>
  <c r="D35" i="15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D21" i="15"/>
  <c r="D20" i="15"/>
  <c r="D19" i="15"/>
  <c r="D18" i="15"/>
  <c r="D17" i="15"/>
  <c r="D16" i="15"/>
  <c r="D15" i="15"/>
  <c r="D14" i="15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9" i="17"/>
  <c r="BS54" i="16"/>
  <c r="BT53" i="16"/>
  <c r="BT41" i="16"/>
  <c r="BT37" i="16"/>
  <c r="BR21" i="16"/>
  <c r="BS54" i="15"/>
  <c r="BT48" i="15"/>
  <c r="BR33" i="15"/>
  <c r="BS54" i="14"/>
  <c r="BS54" i="13"/>
  <c r="BS54" i="12"/>
  <c r="BS54" i="11"/>
  <c r="BS54" i="10"/>
  <c r="BT48" i="10"/>
  <c r="BR33" i="10"/>
  <c r="BS54" i="9"/>
  <c r="BT43" i="9"/>
  <c r="BS54" i="8"/>
  <c r="BT38" i="8"/>
  <c r="BS54" i="7"/>
  <c r="BS54" i="6"/>
  <c r="BS54" i="4"/>
  <c r="BQ15" i="16"/>
  <c r="BQ16" i="16"/>
  <c r="BQ17" i="16"/>
  <c r="BQ18" i="16"/>
  <c r="BQ19" i="16"/>
  <c r="BR19" i="16" s="1"/>
  <c r="BQ20" i="16"/>
  <c r="BR20" i="16" s="1"/>
  <c r="BQ21" i="16"/>
  <c r="BQ22" i="16"/>
  <c r="BQ23" i="16"/>
  <c r="BQ24" i="16"/>
  <c r="BR24" i="16" s="1"/>
  <c r="BQ25" i="16"/>
  <c r="BR25" i="16" s="1"/>
  <c r="BQ26" i="16"/>
  <c r="BQ27" i="16"/>
  <c r="BQ28" i="16"/>
  <c r="BR28" i="16" s="1"/>
  <c r="BQ29" i="16"/>
  <c r="BR29" i="16" s="1"/>
  <c r="BQ30" i="16"/>
  <c r="BR30" i="16" s="1"/>
  <c r="BQ31" i="16"/>
  <c r="BR31" i="16" s="1"/>
  <c r="BQ32" i="16"/>
  <c r="BR32" i="16" s="1"/>
  <c r="BQ33" i="16"/>
  <c r="BR33" i="16" s="1"/>
  <c r="BQ34" i="16"/>
  <c r="BQ35" i="16"/>
  <c r="BQ36" i="16"/>
  <c r="BQ37" i="16"/>
  <c r="BQ38" i="16"/>
  <c r="BQ39" i="16"/>
  <c r="BQ40" i="16"/>
  <c r="BQ41" i="16"/>
  <c r="BQ42" i="16"/>
  <c r="BQ43" i="16"/>
  <c r="BQ44" i="16"/>
  <c r="BQ45" i="16"/>
  <c r="BQ46" i="16"/>
  <c r="BQ47" i="16"/>
  <c r="BQ48" i="16"/>
  <c r="BQ49" i="16"/>
  <c r="BQ50" i="16"/>
  <c r="BQ51" i="16"/>
  <c r="BQ52" i="16"/>
  <c r="BQ53" i="16"/>
  <c r="BQ14" i="16"/>
  <c r="AK15" i="16"/>
  <c r="AK16" i="16"/>
  <c r="BT16" i="16" s="1"/>
  <c r="AK17" i="16"/>
  <c r="BT17" i="16" s="1"/>
  <c r="AK18" i="16"/>
  <c r="AK19" i="16"/>
  <c r="BT19" i="16" s="1"/>
  <c r="AK20" i="16"/>
  <c r="AK21" i="16"/>
  <c r="AK22" i="16"/>
  <c r="AK23" i="16"/>
  <c r="AK24" i="16"/>
  <c r="AK25" i="16"/>
  <c r="AK26" i="16"/>
  <c r="BT26" i="16" s="1"/>
  <c r="AK27" i="16"/>
  <c r="BT27" i="16" s="1"/>
  <c r="AK28" i="16"/>
  <c r="AK29" i="16"/>
  <c r="AK30" i="16"/>
  <c r="AK31" i="16"/>
  <c r="BT31" i="16" s="1"/>
  <c r="AK32" i="16"/>
  <c r="AK33" i="16"/>
  <c r="AK34" i="16"/>
  <c r="AK35" i="16"/>
  <c r="BT35" i="16" s="1"/>
  <c r="AK36" i="16"/>
  <c r="AK37" i="16"/>
  <c r="AK38" i="16"/>
  <c r="AK39" i="16"/>
  <c r="AK40" i="16"/>
  <c r="AK41" i="16"/>
  <c r="AK42" i="16"/>
  <c r="AK43" i="16"/>
  <c r="AK44" i="16"/>
  <c r="AK45" i="16"/>
  <c r="BT45" i="16" s="1"/>
  <c r="AK46" i="16"/>
  <c r="AK47" i="16"/>
  <c r="BT47" i="16" s="1"/>
  <c r="AK48" i="16"/>
  <c r="AK49" i="16"/>
  <c r="BT49" i="16" s="1"/>
  <c r="AK50" i="16"/>
  <c r="AK51" i="16"/>
  <c r="AK52" i="16"/>
  <c r="AK53" i="16"/>
  <c r="AK14" i="16"/>
  <c r="BQ15" i="15"/>
  <c r="BQ16" i="15"/>
  <c r="BQ17" i="15"/>
  <c r="BQ18" i="15"/>
  <c r="BQ19" i="15"/>
  <c r="BR19" i="15" s="1"/>
  <c r="BQ20" i="15"/>
  <c r="BR20" i="15" s="1"/>
  <c r="BQ21" i="15"/>
  <c r="BR21" i="15" s="1"/>
  <c r="BQ22" i="15"/>
  <c r="BQ23" i="15"/>
  <c r="BQ24" i="15"/>
  <c r="BR24" i="15" s="1"/>
  <c r="BQ25" i="15"/>
  <c r="BR25" i="15" s="1"/>
  <c r="BQ26" i="15"/>
  <c r="BQ27" i="15"/>
  <c r="BQ28" i="15"/>
  <c r="BR28" i="15" s="1"/>
  <c r="BQ29" i="15"/>
  <c r="BR29" i="15" s="1"/>
  <c r="BQ30" i="15"/>
  <c r="BR30" i="15" s="1"/>
  <c r="BT30" i="15" s="1"/>
  <c r="BQ31" i="15"/>
  <c r="BR31" i="15" s="1"/>
  <c r="BQ32" i="15"/>
  <c r="BR32" i="15" s="1"/>
  <c r="BQ33" i="15"/>
  <c r="BQ34" i="15"/>
  <c r="BQ35" i="15"/>
  <c r="BQ36" i="15"/>
  <c r="BQ37" i="15"/>
  <c r="BQ38" i="15"/>
  <c r="BQ39" i="15"/>
  <c r="BQ40" i="15"/>
  <c r="BQ41" i="15"/>
  <c r="BQ42" i="15"/>
  <c r="BQ43" i="15"/>
  <c r="BQ44" i="15"/>
  <c r="BQ45" i="15"/>
  <c r="BQ46" i="15"/>
  <c r="BQ47" i="15"/>
  <c r="BQ48" i="15"/>
  <c r="BQ49" i="15"/>
  <c r="BQ50" i="15"/>
  <c r="BQ51" i="15"/>
  <c r="BQ52" i="15"/>
  <c r="BQ53" i="15"/>
  <c r="BQ14" i="15"/>
  <c r="AK15" i="15"/>
  <c r="BT15" i="15" s="1"/>
  <c r="AK16" i="15"/>
  <c r="BT16" i="15" s="1"/>
  <c r="AK17" i="15"/>
  <c r="BT17" i="15" s="1"/>
  <c r="AK18" i="15"/>
  <c r="BT18" i="15" s="1"/>
  <c r="AK19" i="15"/>
  <c r="BT19" i="15" s="1"/>
  <c r="AK20" i="15"/>
  <c r="AK21" i="15"/>
  <c r="AK22" i="15"/>
  <c r="AK23" i="15"/>
  <c r="AK24" i="15"/>
  <c r="AK25" i="15"/>
  <c r="AK26" i="15"/>
  <c r="AK27" i="15"/>
  <c r="BT27" i="15" s="1"/>
  <c r="AK28" i="15"/>
  <c r="AK29" i="15"/>
  <c r="AK30" i="15"/>
  <c r="AK31" i="15"/>
  <c r="BT31" i="15" s="1"/>
  <c r="AK32" i="15"/>
  <c r="AK33" i="15"/>
  <c r="AK34" i="15"/>
  <c r="AK35" i="15"/>
  <c r="AK36" i="15"/>
  <c r="BT36" i="15" s="1"/>
  <c r="AK37" i="15"/>
  <c r="BT37" i="15" s="1"/>
  <c r="AK38" i="15"/>
  <c r="AK39" i="15"/>
  <c r="AK40" i="15"/>
  <c r="BT40" i="15" s="1"/>
  <c r="AK41" i="15"/>
  <c r="BT41" i="15" s="1"/>
  <c r="AK42" i="15"/>
  <c r="AK43" i="15"/>
  <c r="AK44" i="15"/>
  <c r="BT44" i="15" s="1"/>
  <c r="AK45" i="15"/>
  <c r="BT45" i="15" s="1"/>
  <c r="AK46" i="15"/>
  <c r="AK47" i="15"/>
  <c r="AK48" i="15"/>
  <c r="AK49" i="15"/>
  <c r="BT49" i="15" s="1"/>
  <c r="AK50" i="15"/>
  <c r="AK51" i="15"/>
  <c r="AK52" i="15"/>
  <c r="BT52" i="15" s="1"/>
  <c r="AK53" i="15"/>
  <c r="BT53" i="15" s="1"/>
  <c r="AK14" i="15"/>
  <c r="BT14" i="15" s="1"/>
  <c r="BQ15" i="14"/>
  <c r="BQ16" i="14"/>
  <c r="BQ17" i="14"/>
  <c r="BQ18" i="14"/>
  <c r="BQ19" i="14"/>
  <c r="BR19" i="14" s="1"/>
  <c r="BQ20" i="14"/>
  <c r="BR20" i="14" s="1"/>
  <c r="BQ21" i="14"/>
  <c r="BR21" i="14" s="1"/>
  <c r="BQ22" i="14"/>
  <c r="BQ23" i="14"/>
  <c r="BQ24" i="14"/>
  <c r="BR24" i="14" s="1"/>
  <c r="BQ25" i="14"/>
  <c r="BR25" i="14" s="1"/>
  <c r="BQ26" i="14"/>
  <c r="BQ27" i="14"/>
  <c r="BQ28" i="14"/>
  <c r="BR28" i="14" s="1"/>
  <c r="BQ29" i="14"/>
  <c r="BR29" i="14" s="1"/>
  <c r="BQ30" i="14"/>
  <c r="BR30" i="14" s="1"/>
  <c r="BQ31" i="14"/>
  <c r="BR31" i="14" s="1"/>
  <c r="BQ32" i="14"/>
  <c r="BR32" i="14" s="1"/>
  <c r="BQ33" i="14"/>
  <c r="BR33" i="14" s="1"/>
  <c r="BQ34" i="14"/>
  <c r="BQ35" i="14"/>
  <c r="BQ36" i="14"/>
  <c r="BQ37" i="14"/>
  <c r="BQ38" i="14"/>
  <c r="BQ39" i="14"/>
  <c r="BQ40" i="14"/>
  <c r="BQ41" i="14"/>
  <c r="BQ42" i="14"/>
  <c r="BQ43" i="14"/>
  <c r="BQ44" i="14"/>
  <c r="BQ45" i="14"/>
  <c r="BQ46" i="14"/>
  <c r="BQ47" i="14"/>
  <c r="BQ48" i="14"/>
  <c r="BQ49" i="14"/>
  <c r="BQ50" i="14"/>
  <c r="BQ51" i="14"/>
  <c r="BQ52" i="14"/>
  <c r="BQ53" i="14"/>
  <c r="BQ14" i="14"/>
  <c r="AK15" i="14"/>
  <c r="AK16" i="14"/>
  <c r="BT16" i="14" s="1"/>
  <c r="AK17" i="14"/>
  <c r="BT17" i="14" s="1"/>
  <c r="AK18" i="14"/>
  <c r="BT18" i="14" s="1"/>
  <c r="AK19" i="14"/>
  <c r="BT19" i="14" s="1"/>
  <c r="AK20" i="14"/>
  <c r="BT20" i="14" s="1"/>
  <c r="AK21" i="14"/>
  <c r="BT21" i="14" s="1"/>
  <c r="AK22" i="14"/>
  <c r="AK23" i="14"/>
  <c r="BT23" i="14" s="1"/>
  <c r="AK24" i="14"/>
  <c r="BT24" i="14" s="1"/>
  <c r="AK25" i="14"/>
  <c r="AK26" i="14"/>
  <c r="BT26" i="14" s="1"/>
  <c r="AK27" i="14"/>
  <c r="BT27" i="14" s="1"/>
  <c r="AK28" i="14"/>
  <c r="BT28" i="14" s="1"/>
  <c r="AK29" i="14"/>
  <c r="BT29" i="14" s="1"/>
  <c r="AK30" i="14"/>
  <c r="AK31" i="14"/>
  <c r="BT31" i="14" s="1"/>
  <c r="AK32" i="14"/>
  <c r="BT32" i="14" s="1"/>
  <c r="AK33" i="14"/>
  <c r="BT33" i="14" s="1"/>
  <c r="AK34" i="14"/>
  <c r="AK35" i="14"/>
  <c r="BT35" i="14" s="1"/>
  <c r="AK36" i="14"/>
  <c r="BT36" i="14" s="1"/>
  <c r="AK37" i="14"/>
  <c r="BT37" i="14" s="1"/>
  <c r="AK38" i="14"/>
  <c r="AK39" i="14"/>
  <c r="BT39" i="14" s="1"/>
  <c r="AK40" i="14"/>
  <c r="AK41" i="14"/>
  <c r="BT41" i="14" s="1"/>
  <c r="AK42" i="14"/>
  <c r="AK43" i="14"/>
  <c r="BT43" i="14" s="1"/>
  <c r="AK44" i="14"/>
  <c r="BT44" i="14" s="1"/>
  <c r="AK45" i="14"/>
  <c r="BT45" i="14" s="1"/>
  <c r="AK46" i="14"/>
  <c r="AK47" i="14"/>
  <c r="BT47" i="14" s="1"/>
  <c r="AK48" i="14"/>
  <c r="BT48" i="14" s="1"/>
  <c r="AK49" i="14"/>
  <c r="BT49" i="14" s="1"/>
  <c r="AK50" i="14"/>
  <c r="AK51" i="14"/>
  <c r="BT51" i="14" s="1"/>
  <c r="AK52" i="14"/>
  <c r="BT52" i="14" s="1"/>
  <c r="AK53" i="14"/>
  <c r="BT53" i="14" s="1"/>
  <c r="AK14" i="14"/>
  <c r="BT14" i="14" s="1"/>
  <c r="BQ15" i="13"/>
  <c r="BQ16" i="13"/>
  <c r="BQ17" i="13"/>
  <c r="BQ18" i="13"/>
  <c r="BQ19" i="13"/>
  <c r="BR19" i="13" s="1"/>
  <c r="BQ20" i="13"/>
  <c r="BR20" i="13" s="1"/>
  <c r="BT20" i="13" s="1"/>
  <c r="BQ21" i="13"/>
  <c r="BR21" i="13" s="1"/>
  <c r="BQ22" i="13"/>
  <c r="BQ23" i="13"/>
  <c r="BQ24" i="13"/>
  <c r="BR24" i="13" s="1"/>
  <c r="BQ25" i="13"/>
  <c r="BR25" i="13" s="1"/>
  <c r="BQ26" i="13"/>
  <c r="BQ27" i="13"/>
  <c r="BQ28" i="13"/>
  <c r="BR28" i="13" s="1"/>
  <c r="BQ29" i="13"/>
  <c r="BR29" i="13" s="1"/>
  <c r="BQ30" i="13"/>
  <c r="BR30" i="13" s="1"/>
  <c r="BQ31" i="13"/>
  <c r="BR31" i="13" s="1"/>
  <c r="BQ32" i="13"/>
  <c r="BR32" i="13" s="1"/>
  <c r="BT32" i="13" s="1"/>
  <c r="BQ33" i="13"/>
  <c r="BR33" i="13" s="1"/>
  <c r="BQ34" i="13"/>
  <c r="BQ35" i="13"/>
  <c r="BQ36" i="13"/>
  <c r="BQ37" i="13"/>
  <c r="BQ38" i="13"/>
  <c r="BQ39" i="13"/>
  <c r="BQ40" i="13"/>
  <c r="BQ41" i="13"/>
  <c r="BQ42" i="13"/>
  <c r="BQ43" i="13"/>
  <c r="BQ44" i="13"/>
  <c r="BQ45" i="13"/>
  <c r="BQ46" i="13"/>
  <c r="BQ47" i="13"/>
  <c r="BQ48" i="13"/>
  <c r="BQ49" i="13"/>
  <c r="BQ50" i="13"/>
  <c r="BQ51" i="13"/>
  <c r="BQ52" i="13"/>
  <c r="BQ53" i="13"/>
  <c r="BQ14" i="13"/>
  <c r="AK15" i="13"/>
  <c r="BT15" i="13" s="1"/>
  <c r="AK16" i="13"/>
  <c r="AK17" i="13"/>
  <c r="BT17" i="13" s="1"/>
  <c r="AK18" i="13"/>
  <c r="AK19" i="13"/>
  <c r="BT19" i="13" s="1"/>
  <c r="AK20" i="13"/>
  <c r="AK21" i="13"/>
  <c r="BT21" i="13" s="1"/>
  <c r="AK22" i="13"/>
  <c r="BT22" i="13" s="1"/>
  <c r="AK23" i="13"/>
  <c r="BT23" i="13" s="1"/>
  <c r="AK24" i="13"/>
  <c r="AK25" i="13"/>
  <c r="AK26" i="13"/>
  <c r="AK27" i="13"/>
  <c r="BT27" i="13" s="1"/>
  <c r="AK28" i="13"/>
  <c r="AK29" i="13"/>
  <c r="AK30" i="13"/>
  <c r="AK31" i="13"/>
  <c r="BT31" i="13" s="1"/>
  <c r="AK32" i="13"/>
  <c r="AK33" i="13"/>
  <c r="BT33" i="13" s="1"/>
  <c r="AK34" i="13"/>
  <c r="BT34" i="13" s="1"/>
  <c r="AK35" i="13"/>
  <c r="BT35" i="13" s="1"/>
  <c r="AK36" i="13"/>
  <c r="BT36" i="13" s="1"/>
  <c r="AK37" i="13"/>
  <c r="BT37" i="13" s="1"/>
  <c r="AK38" i="13"/>
  <c r="BT38" i="13" s="1"/>
  <c r="AK39" i="13"/>
  <c r="BT39" i="13" s="1"/>
  <c r="AK40" i="13"/>
  <c r="BT40" i="13" s="1"/>
  <c r="AK41" i="13"/>
  <c r="BT41" i="13" s="1"/>
  <c r="AK42" i="13"/>
  <c r="BT42" i="13" s="1"/>
  <c r="AK43" i="13"/>
  <c r="BT43" i="13" s="1"/>
  <c r="AK44" i="13"/>
  <c r="BT44" i="13" s="1"/>
  <c r="AK45" i="13"/>
  <c r="BT45" i="13" s="1"/>
  <c r="AK46" i="13"/>
  <c r="AK47" i="13"/>
  <c r="BT47" i="13" s="1"/>
  <c r="AK48" i="13"/>
  <c r="BT48" i="13" s="1"/>
  <c r="AK49" i="13"/>
  <c r="BT49" i="13" s="1"/>
  <c r="AK50" i="13"/>
  <c r="AK51" i="13"/>
  <c r="BT51" i="13" s="1"/>
  <c r="AK52" i="13"/>
  <c r="BT52" i="13" s="1"/>
  <c r="AK53" i="13"/>
  <c r="BT53" i="13" s="1"/>
  <c r="AK14" i="13"/>
  <c r="BT14" i="13" s="1"/>
  <c r="BQ15" i="12"/>
  <c r="BQ16" i="12"/>
  <c r="BQ17" i="12"/>
  <c r="BQ18" i="12"/>
  <c r="BQ19" i="12"/>
  <c r="BR19" i="12" s="1"/>
  <c r="BQ20" i="12"/>
  <c r="BR20" i="12" s="1"/>
  <c r="BQ21" i="12"/>
  <c r="BR21" i="12" s="1"/>
  <c r="BQ22" i="12"/>
  <c r="BQ23" i="12"/>
  <c r="BQ24" i="12"/>
  <c r="BR24" i="12" s="1"/>
  <c r="BQ25" i="12"/>
  <c r="BR25" i="12" s="1"/>
  <c r="BT25" i="12" s="1"/>
  <c r="BQ26" i="12"/>
  <c r="BQ27" i="12"/>
  <c r="BQ28" i="12"/>
  <c r="BR28" i="12" s="1"/>
  <c r="BQ29" i="12"/>
  <c r="BR29" i="12" s="1"/>
  <c r="BQ30" i="12"/>
  <c r="BR30" i="12" s="1"/>
  <c r="BQ31" i="12"/>
  <c r="BR31" i="12" s="1"/>
  <c r="BQ32" i="12"/>
  <c r="BR32" i="12" s="1"/>
  <c r="BQ33" i="12"/>
  <c r="BR33" i="12" s="1"/>
  <c r="BQ34" i="12"/>
  <c r="BQ35" i="12"/>
  <c r="BQ36" i="12"/>
  <c r="BQ37" i="12"/>
  <c r="BQ38" i="12"/>
  <c r="BQ39" i="12"/>
  <c r="BQ40" i="12"/>
  <c r="BQ41" i="12"/>
  <c r="BQ42" i="12"/>
  <c r="BQ43" i="12"/>
  <c r="BQ44" i="12"/>
  <c r="BQ45" i="12"/>
  <c r="BQ46" i="12"/>
  <c r="BQ47" i="12"/>
  <c r="BQ48" i="12"/>
  <c r="BQ49" i="12"/>
  <c r="BQ50" i="12"/>
  <c r="BQ51" i="12"/>
  <c r="BQ52" i="12"/>
  <c r="BQ53" i="12"/>
  <c r="BQ14" i="12"/>
  <c r="AK15" i="12"/>
  <c r="AK16" i="12"/>
  <c r="BT16" i="12" s="1"/>
  <c r="AK17" i="12"/>
  <c r="BT17" i="12" s="1"/>
  <c r="AK18" i="12"/>
  <c r="BT18" i="12" s="1"/>
  <c r="AK19" i="12"/>
  <c r="AK20" i="12"/>
  <c r="AK21" i="12"/>
  <c r="BT21" i="12" s="1"/>
  <c r="AK22" i="12"/>
  <c r="BT22" i="12" s="1"/>
  <c r="AK23" i="12"/>
  <c r="AK24" i="12"/>
  <c r="BT24" i="12" s="1"/>
  <c r="AK25" i="12"/>
  <c r="AK26" i="12"/>
  <c r="BT26" i="12" s="1"/>
  <c r="AK27" i="12"/>
  <c r="AK28" i="12"/>
  <c r="AK29" i="12"/>
  <c r="AK30" i="12"/>
  <c r="AK31" i="12"/>
  <c r="AK32" i="12"/>
  <c r="AK33" i="12"/>
  <c r="BT33" i="12" s="1"/>
  <c r="AK34" i="12"/>
  <c r="BT34" i="12" s="1"/>
  <c r="AK35" i="12"/>
  <c r="AK36" i="12"/>
  <c r="AK37" i="12"/>
  <c r="BT37" i="12" s="1"/>
  <c r="AK38" i="12"/>
  <c r="BT38" i="12" s="1"/>
  <c r="AK39" i="12"/>
  <c r="AK40" i="12"/>
  <c r="BT40" i="12" s="1"/>
  <c r="AK41" i="12"/>
  <c r="BT41" i="12" s="1"/>
  <c r="AK42" i="12"/>
  <c r="BT42" i="12" s="1"/>
  <c r="AK43" i="12"/>
  <c r="AK44" i="12"/>
  <c r="AK45" i="12"/>
  <c r="BT45" i="12" s="1"/>
  <c r="AK46" i="12"/>
  <c r="BT46" i="12" s="1"/>
  <c r="AK47" i="12"/>
  <c r="AK48" i="12"/>
  <c r="BT48" i="12" s="1"/>
  <c r="AK49" i="12"/>
  <c r="BT49" i="12" s="1"/>
  <c r="AK50" i="12"/>
  <c r="BT50" i="12" s="1"/>
  <c r="AK51" i="12"/>
  <c r="AK52" i="12"/>
  <c r="AK53" i="12"/>
  <c r="BT53" i="12" s="1"/>
  <c r="AK14" i="12"/>
  <c r="BT14" i="12" s="1"/>
  <c r="BQ15" i="11"/>
  <c r="BQ16" i="11"/>
  <c r="BQ17" i="11"/>
  <c r="BQ18" i="11"/>
  <c r="BQ19" i="11"/>
  <c r="BR19" i="11" s="1"/>
  <c r="BQ20" i="11"/>
  <c r="BR20" i="11" s="1"/>
  <c r="BQ21" i="11"/>
  <c r="BR21" i="11" s="1"/>
  <c r="BQ22" i="11"/>
  <c r="BQ23" i="11"/>
  <c r="BQ24" i="11"/>
  <c r="BR24" i="11" s="1"/>
  <c r="BQ25" i="11"/>
  <c r="BR25" i="11" s="1"/>
  <c r="BQ26" i="11"/>
  <c r="BQ27" i="11"/>
  <c r="BQ28" i="11"/>
  <c r="BR28" i="11" s="1"/>
  <c r="BQ29" i="11"/>
  <c r="BR29" i="11" s="1"/>
  <c r="BQ30" i="11"/>
  <c r="BR30" i="11" s="1"/>
  <c r="BQ31" i="11"/>
  <c r="BR31" i="11" s="1"/>
  <c r="BQ32" i="11"/>
  <c r="BR32" i="11" s="1"/>
  <c r="BQ33" i="11"/>
  <c r="BR33" i="11" s="1"/>
  <c r="BQ34" i="11"/>
  <c r="BQ35" i="11"/>
  <c r="BQ36" i="11"/>
  <c r="BQ37" i="11"/>
  <c r="BQ38" i="11"/>
  <c r="BQ39" i="11"/>
  <c r="BQ40" i="11"/>
  <c r="BQ41" i="11"/>
  <c r="BQ42" i="11"/>
  <c r="BQ43" i="11"/>
  <c r="BQ44" i="11"/>
  <c r="BQ45" i="11"/>
  <c r="BQ46" i="11"/>
  <c r="BQ47" i="11"/>
  <c r="BQ48" i="11"/>
  <c r="BQ49" i="11"/>
  <c r="BQ50" i="11"/>
  <c r="BQ51" i="11"/>
  <c r="BQ52" i="11"/>
  <c r="BQ53" i="11"/>
  <c r="BQ14" i="11"/>
  <c r="AK15" i="11"/>
  <c r="BT15" i="11" s="1"/>
  <c r="AK16" i="11"/>
  <c r="BT16" i="11" s="1"/>
  <c r="AK17" i="11"/>
  <c r="BT17" i="11" s="1"/>
  <c r="AK18" i="11"/>
  <c r="BT18" i="11" s="1"/>
  <c r="AK19" i="11"/>
  <c r="AK20" i="11"/>
  <c r="AK21" i="11"/>
  <c r="AK22" i="11"/>
  <c r="BT22" i="11" s="1"/>
  <c r="AK23" i="11"/>
  <c r="AK24" i="11"/>
  <c r="AK25" i="11"/>
  <c r="AK26" i="11"/>
  <c r="BT26" i="11" s="1"/>
  <c r="AK27" i="11"/>
  <c r="BT27" i="11" s="1"/>
  <c r="AK28" i="11"/>
  <c r="AK29" i="11"/>
  <c r="AK30" i="11"/>
  <c r="BT30" i="11" s="1"/>
  <c r="AK31" i="11"/>
  <c r="AK32" i="11"/>
  <c r="AK33" i="11"/>
  <c r="AK34" i="11"/>
  <c r="BT34" i="11" s="1"/>
  <c r="AK35" i="11"/>
  <c r="BT35" i="11" s="1"/>
  <c r="AK36" i="11"/>
  <c r="AK37" i="11"/>
  <c r="BT37" i="11" s="1"/>
  <c r="AK38" i="11"/>
  <c r="BT38" i="11" s="1"/>
  <c r="AK39" i="11"/>
  <c r="BT39" i="11" s="1"/>
  <c r="AK40" i="11"/>
  <c r="AK41" i="11"/>
  <c r="BT41" i="11" s="1"/>
  <c r="AK42" i="11"/>
  <c r="BT42" i="11" s="1"/>
  <c r="AK43" i="11"/>
  <c r="BT43" i="11" s="1"/>
  <c r="AK44" i="11"/>
  <c r="AK45" i="11"/>
  <c r="BT45" i="11" s="1"/>
  <c r="AK46" i="11"/>
  <c r="BT46" i="11" s="1"/>
  <c r="AK47" i="11"/>
  <c r="BT47" i="11" s="1"/>
  <c r="AK48" i="11"/>
  <c r="AK49" i="11"/>
  <c r="BT49" i="11" s="1"/>
  <c r="AK50" i="11"/>
  <c r="BT50" i="11" s="1"/>
  <c r="AK51" i="11"/>
  <c r="BT51" i="11" s="1"/>
  <c r="AK52" i="11"/>
  <c r="AK53" i="11"/>
  <c r="BT53" i="11" s="1"/>
  <c r="AK14" i="11"/>
  <c r="BT14" i="11" s="1"/>
  <c r="BQ15" i="10"/>
  <c r="BQ16" i="10"/>
  <c r="BQ17" i="10"/>
  <c r="BQ18" i="10"/>
  <c r="BQ19" i="10"/>
  <c r="BR19" i="10" s="1"/>
  <c r="BQ20" i="10"/>
  <c r="BR20" i="10" s="1"/>
  <c r="BQ21" i="10"/>
  <c r="BR21" i="10" s="1"/>
  <c r="BQ22" i="10"/>
  <c r="BQ23" i="10"/>
  <c r="BQ24" i="10"/>
  <c r="BR24" i="10" s="1"/>
  <c r="BQ25" i="10"/>
  <c r="BR25" i="10" s="1"/>
  <c r="BQ26" i="10"/>
  <c r="BQ27" i="10"/>
  <c r="BQ28" i="10"/>
  <c r="BR28" i="10" s="1"/>
  <c r="BQ29" i="10"/>
  <c r="BR29" i="10" s="1"/>
  <c r="BQ30" i="10"/>
  <c r="BR30" i="10" s="1"/>
  <c r="BQ31" i="10"/>
  <c r="BR31" i="10" s="1"/>
  <c r="BQ32" i="10"/>
  <c r="BR32" i="10" s="1"/>
  <c r="BQ33" i="10"/>
  <c r="BQ34" i="10"/>
  <c r="BQ35" i="10"/>
  <c r="BQ36" i="10"/>
  <c r="BQ37" i="10"/>
  <c r="BQ38" i="10"/>
  <c r="BQ39" i="10"/>
  <c r="BQ40" i="10"/>
  <c r="BQ41" i="10"/>
  <c r="BQ42" i="10"/>
  <c r="BQ43" i="10"/>
  <c r="BQ44" i="10"/>
  <c r="BQ45" i="10"/>
  <c r="BQ46" i="10"/>
  <c r="BQ47" i="10"/>
  <c r="BQ48" i="10"/>
  <c r="BQ49" i="10"/>
  <c r="BQ50" i="10"/>
  <c r="BQ51" i="10"/>
  <c r="BQ52" i="10"/>
  <c r="BQ53" i="10"/>
  <c r="BQ14" i="10"/>
  <c r="AK15" i="10"/>
  <c r="BT15" i="10" s="1"/>
  <c r="AK16" i="10"/>
  <c r="BT16" i="10" s="1"/>
  <c r="AK17" i="10"/>
  <c r="BT17" i="10" s="1"/>
  <c r="AK18" i="10"/>
  <c r="BT18" i="10" s="1"/>
  <c r="AK19" i="10"/>
  <c r="BT19" i="10" s="1"/>
  <c r="AK20" i="10"/>
  <c r="AK21" i="10"/>
  <c r="AK22" i="10"/>
  <c r="BT22" i="10" s="1"/>
  <c r="AK23" i="10"/>
  <c r="AK24" i="10"/>
  <c r="AK25" i="10"/>
  <c r="AK26" i="10"/>
  <c r="BT26" i="10" s="1"/>
  <c r="AK27" i="10"/>
  <c r="BT27" i="10" s="1"/>
  <c r="AK28" i="10"/>
  <c r="AK29" i="10"/>
  <c r="AK30" i="10"/>
  <c r="AK31" i="10"/>
  <c r="BT31" i="10" s="1"/>
  <c r="AK32" i="10"/>
  <c r="AK33" i="10"/>
  <c r="AK34" i="10"/>
  <c r="BT34" i="10" s="1"/>
  <c r="AK35" i="10"/>
  <c r="AK36" i="10"/>
  <c r="BT36" i="10" s="1"/>
  <c r="AK37" i="10"/>
  <c r="AK38" i="10"/>
  <c r="BT38" i="10" s="1"/>
  <c r="AK39" i="10"/>
  <c r="AK40" i="10"/>
  <c r="BT40" i="10" s="1"/>
  <c r="AK41" i="10"/>
  <c r="AK42" i="10"/>
  <c r="BT42" i="10" s="1"/>
  <c r="AK43" i="10"/>
  <c r="AK44" i="10"/>
  <c r="BT44" i="10" s="1"/>
  <c r="AK45" i="10"/>
  <c r="AK46" i="10"/>
  <c r="BT46" i="10" s="1"/>
  <c r="AK47" i="10"/>
  <c r="AK48" i="10"/>
  <c r="AK49" i="10"/>
  <c r="AK50" i="10"/>
  <c r="BT50" i="10" s="1"/>
  <c r="AK51" i="10"/>
  <c r="AK52" i="10"/>
  <c r="BT52" i="10" s="1"/>
  <c r="AK53" i="10"/>
  <c r="AK14" i="10"/>
  <c r="BT14" i="10" s="1"/>
  <c r="BQ15" i="9"/>
  <c r="BQ16" i="9"/>
  <c r="BQ17" i="9"/>
  <c r="BQ18" i="9"/>
  <c r="BQ19" i="9"/>
  <c r="BR19" i="9" s="1"/>
  <c r="BQ20" i="9"/>
  <c r="BR20" i="9" s="1"/>
  <c r="BT20" i="9" s="1"/>
  <c r="BQ21" i="9"/>
  <c r="BR21" i="9" s="1"/>
  <c r="BQ22" i="9"/>
  <c r="BQ23" i="9"/>
  <c r="BQ24" i="9"/>
  <c r="BR24" i="9" s="1"/>
  <c r="BQ25" i="9"/>
  <c r="BR25" i="9" s="1"/>
  <c r="BQ26" i="9"/>
  <c r="BQ27" i="9"/>
  <c r="BQ28" i="9"/>
  <c r="BR28" i="9" s="1"/>
  <c r="BQ29" i="9"/>
  <c r="BR29" i="9" s="1"/>
  <c r="BQ30" i="9"/>
  <c r="BR30" i="9" s="1"/>
  <c r="BQ31" i="9"/>
  <c r="BR31" i="9" s="1"/>
  <c r="BQ32" i="9"/>
  <c r="BR32" i="9" s="1"/>
  <c r="BT32" i="9" s="1"/>
  <c r="J27" i="17" s="1"/>
  <c r="BQ33" i="9"/>
  <c r="BR33" i="9" s="1"/>
  <c r="BQ34" i="9"/>
  <c r="BQ35" i="9"/>
  <c r="BQ36" i="9"/>
  <c r="BQ37" i="9"/>
  <c r="BQ38" i="9"/>
  <c r="BQ39" i="9"/>
  <c r="BQ40" i="9"/>
  <c r="BQ41" i="9"/>
  <c r="BQ42" i="9"/>
  <c r="BQ43" i="9"/>
  <c r="BQ44" i="9"/>
  <c r="BQ45" i="9"/>
  <c r="BQ46" i="9"/>
  <c r="BQ47" i="9"/>
  <c r="BQ48" i="9"/>
  <c r="BQ49" i="9"/>
  <c r="BQ50" i="9"/>
  <c r="BQ51" i="9"/>
  <c r="BQ52" i="9"/>
  <c r="BQ53" i="9"/>
  <c r="BQ14" i="9"/>
  <c r="AK15" i="9"/>
  <c r="AK16" i="9"/>
  <c r="BT16" i="9" s="1"/>
  <c r="AK17" i="9"/>
  <c r="BT17" i="9" s="1"/>
  <c r="AK18" i="9"/>
  <c r="BT18" i="9" s="1"/>
  <c r="AK19" i="9"/>
  <c r="AK20" i="9"/>
  <c r="AK21" i="9"/>
  <c r="BT21" i="9" s="1"/>
  <c r="AK22" i="9"/>
  <c r="BT22" i="9" s="1"/>
  <c r="AK23" i="9"/>
  <c r="BT23" i="9" s="1"/>
  <c r="AK24" i="9"/>
  <c r="BT24" i="9" s="1"/>
  <c r="AK25" i="9"/>
  <c r="AK26" i="9"/>
  <c r="BT26" i="9" s="1"/>
  <c r="AK27" i="9"/>
  <c r="BT27" i="9" s="1"/>
  <c r="AK28" i="9"/>
  <c r="AK29" i="9"/>
  <c r="BT29" i="9" s="1"/>
  <c r="AK30" i="9"/>
  <c r="AK31" i="9"/>
  <c r="AK32" i="9"/>
  <c r="AK33" i="9"/>
  <c r="BT33" i="9" s="1"/>
  <c r="AK34" i="9"/>
  <c r="BT34" i="9" s="1"/>
  <c r="AK35" i="9"/>
  <c r="BT35" i="9" s="1"/>
  <c r="AK36" i="9"/>
  <c r="AK37" i="9"/>
  <c r="BT37" i="9" s="1"/>
  <c r="AK38" i="9"/>
  <c r="BT38" i="9" s="1"/>
  <c r="AK39" i="9"/>
  <c r="BT39" i="9" s="1"/>
  <c r="AK40" i="9"/>
  <c r="AK41" i="9"/>
  <c r="BT41" i="9" s="1"/>
  <c r="AK42" i="9"/>
  <c r="BT42" i="9" s="1"/>
  <c r="AK43" i="9"/>
  <c r="AK44" i="9"/>
  <c r="AK45" i="9"/>
  <c r="BT45" i="9" s="1"/>
  <c r="AK46" i="9"/>
  <c r="BT46" i="9" s="1"/>
  <c r="AK47" i="9"/>
  <c r="BT47" i="9" s="1"/>
  <c r="AK48" i="9"/>
  <c r="AK49" i="9"/>
  <c r="BT49" i="9" s="1"/>
  <c r="AK50" i="9"/>
  <c r="BT50" i="9" s="1"/>
  <c r="AK51" i="9"/>
  <c r="BT51" i="9" s="1"/>
  <c r="AK52" i="9"/>
  <c r="AK53" i="9"/>
  <c r="BT53" i="9" s="1"/>
  <c r="AK14" i="9"/>
  <c r="BT14" i="9" s="1"/>
  <c r="BQ15" i="8"/>
  <c r="BQ16" i="8"/>
  <c r="BQ17" i="8"/>
  <c r="BQ18" i="8"/>
  <c r="BQ19" i="8"/>
  <c r="BR19" i="8" s="1"/>
  <c r="BQ20" i="8"/>
  <c r="BR20" i="8" s="1"/>
  <c r="BQ21" i="8"/>
  <c r="BR21" i="8" s="1"/>
  <c r="BQ22" i="8"/>
  <c r="BQ23" i="8"/>
  <c r="BQ24" i="8"/>
  <c r="BR24" i="8" s="1"/>
  <c r="BQ25" i="8"/>
  <c r="BR25" i="8" s="1"/>
  <c r="BQ26" i="8"/>
  <c r="BQ27" i="8"/>
  <c r="BQ28" i="8"/>
  <c r="BR28" i="8" s="1"/>
  <c r="BQ29" i="8"/>
  <c r="BR29" i="8" s="1"/>
  <c r="BQ30" i="8"/>
  <c r="BR30" i="8" s="1"/>
  <c r="BQ31" i="8"/>
  <c r="BR31" i="8" s="1"/>
  <c r="BQ32" i="8"/>
  <c r="BR32" i="8" s="1"/>
  <c r="BQ33" i="8"/>
  <c r="BR33" i="8" s="1"/>
  <c r="BQ34" i="8"/>
  <c r="BQ35" i="8"/>
  <c r="BQ36" i="8"/>
  <c r="BQ37" i="8"/>
  <c r="BQ38" i="8"/>
  <c r="BQ39" i="8"/>
  <c r="BQ40" i="8"/>
  <c r="BQ41" i="8"/>
  <c r="BQ42" i="8"/>
  <c r="BQ43" i="8"/>
  <c r="BQ44" i="8"/>
  <c r="BQ45" i="8"/>
  <c r="BQ46" i="8"/>
  <c r="BQ47" i="8"/>
  <c r="BQ48" i="8"/>
  <c r="BQ49" i="8"/>
  <c r="BQ50" i="8"/>
  <c r="BQ51" i="8"/>
  <c r="BQ52" i="8"/>
  <c r="BQ53" i="8"/>
  <c r="BQ14" i="8"/>
  <c r="AK15" i="8"/>
  <c r="AK16" i="8"/>
  <c r="BT16" i="8" s="1"/>
  <c r="AK17" i="8"/>
  <c r="BT17" i="8" s="1"/>
  <c r="AK18" i="8"/>
  <c r="BT18" i="8" s="1"/>
  <c r="AK19" i="8"/>
  <c r="AK20" i="8"/>
  <c r="AK21" i="8"/>
  <c r="AK22" i="8"/>
  <c r="BT22" i="8" s="1"/>
  <c r="AK23" i="8"/>
  <c r="AK24" i="8"/>
  <c r="AK25" i="8"/>
  <c r="AK26" i="8"/>
  <c r="AK27" i="8"/>
  <c r="AK28" i="8"/>
  <c r="AK29" i="8"/>
  <c r="AK30" i="8"/>
  <c r="AK31" i="8"/>
  <c r="AK32" i="8"/>
  <c r="AK33" i="8"/>
  <c r="AK34" i="8"/>
  <c r="BT34" i="8" s="1"/>
  <c r="AK35" i="8"/>
  <c r="BT35" i="8" s="1"/>
  <c r="AK36" i="8"/>
  <c r="BT36" i="8" s="1"/>
  <c r="AK37" i="8"/>
  <c r="BT37" i="8" s="1"/>
  <c r="AK38" i="8"/>
  <c r="AK39" i="8"/>
  <c r="AK40" i="8"/>
  <c r="BT40" i="8" s="1"/>
  <c r="AK41" i="8"/>
  <c r="BT41" i="8" s="1"/>
  <c r="AK42" i="8"/>
  <c r="BT42" i="8" s="1"/>
  <c r="AK43" i="8"/>
  <c r="BT43" i="8" s="1"/>
  <c r="AK44" i="8"/>
  <c r="BT44" i="8" s="1"/>
  <c r="AK45" i="8"/>
  <c r="BT45" i="8" s="1"/>
  <c r="AK46" i="8"/>
  <c r="BT46" i="8" s="1"/>
  <c r="AK47" i="8"/>
  <c r="BT47" i="8" s="1"/>
  <c r="AK48" i="8"/>
  <c r="BT48" i="8" s="1"/>
  <c r="AK49" i="8"/>
  <c r="BT49" i="8" s="1"/>
  <c r="AK50" i="8"/>
  <c r="BT50" i="8" s="1"/>
  <c r="AK51" i="8"/>
  <c r="AK52" i="8"/>
  <c r="BT52" i="8" s="1"/>
  <c r="AK53" i="8"/>
  <c r="BT53" i="8" s="1"/>
  <c r="AK14" i="8"/>
  <c r="BQ15" i="7"/>
  <c r="BQ16" i="7"/>
  <c r="BQ17" i="7"/>
  <c r="BQ18" i="7"/>
  <c r="BQ19" i="7"/>
  <c r="BR19" i="7" s="1"/>
  <c r="BQ20" i="7"/>
  <c r="BR20" i="7" s="1"/>
  <c r="BQ21" i="7"/>
  <c r="BR21" i="7" s="1"/>
  <c r="BQ22" i="7"/>
  <c r="BQ23" i="7"/>
  <c r="BQ24" i="7"/>
  <c r="BR24" i="7" s="1"/>
  <c r="BQ25" i="7"/>
  <c r="BR25" i="7" s="1"/>
  <c r="BQ26" i="7"/>
  <c r="BQ27" i="7"/>
  <c r="BQ28" i="7"/>
  <c r="BR28" i="7" s="1"/>
  <c r="BQ29" i="7"/>
  <c r="BR29" i="7" s="1"/>
  <c r="BQ30" i="7"/>
  <c r="BR30" i="7" s="1"/>
  <c r="BQ31" i="7"/>
  <c r="BR31" i="7" s="1"/>
  <c r="BQ32" i="7"/>
  <c r="BR32" i="7" s="1"/>
  <c r="BQ33" i="7"/>
  <c r="BR33" i="7" s="1"/>
  <c r="BQ34" i="7"/>
  <c r="BQ35" i="7"/>
  <c r="BQ36" i="7"/>
  <c r="BQ37" i="7"/>
  <c r="BQ38" i="7"/>
  <c r="BQ39" i="7"/>
  <c r="BQ40" i="7"/>
  <c r="BQ41" i="7"/>
  <c r="BQ42" i="7"/>
  <c r="BQ43" i="7"/>
  <c r="BQ44" i="7"/>
  <c r="BQ45" i="7"/>
  <c r="BQ46" i="7"/>
  <c r="BQ47" i="7"/>
  <c r="BQ48" i="7"/>
  <c r="BQ49" i="7"/>
  <c r="BQ50" i="7"/>
  <c r="BQ51" i="7"/>
  <c r="BQ52" i="7"/>
  <c r="BQ53" i="7"/>
  <c r="BQ14" i="7"/>
  <c r="AK15" i="7"/>
  <c r="BT15" i="7" s="1"/>
  <c r="AK16" i="7"/>
  <c r="BT16" i="7" s="1"/>
  <c r="AK17" i="7"/>
  <c r="AK18" i="7"/>
  <c r="BT18" i="7" s="1"/>
  <c r="AK19" i="7"/>
  <c r="AK20" i="7"/>
  <c r="AK21" i="7"/>
  <c r="AK22" i="7"/>
  <c r="BT22" i="7" s="1"/>
  <c r="AK23" i="7"/>
  <c r="AK24" i="7"/>
  <c r="AK25" i="7"/>
  <c r="AK26" i="7"/>
  <c r="BT26" i="7" s="1"/>
  <c r="AK27" i="7"/>
  <c r="AK28" i="7"/>
  <c r="AK29" i="7"/>
  <c r="AK30" i="7"/>
  <c r="AK31" i="7"/>
  <c r="AK32" i="7"/>
  <c r="AK33" i="7"/>
  <c r="AK34" i="7"/>
  <c r="BT34" i="7" s="1"/>
  <c r="AK35" i="7"/>
  <c r="AK36" i="7"/>
  <c r="BT36" i="7" s="1"/>
  <c r="AK37" i="7"/>
  <c r="BT37" i="7" s="1"/>
  <c r="AK38" i="7"/>
  <c r="BT38" i="7" s="1"/>
  <c r="AK39" i="7"/>
  <c r="BT39" i="7" s="1"/>
  <c r="AK40" i="7"/>
  <c r="BT40" i="7" s="1"/>
  <c r="AK41" i="7"/>
  <c r="BT41" i="7" s="1"/>
  <c r="AK42" i="7"/>
  <c r="BT42" i="7" s="1"/>
  <c r="AK43" i="7"/>
  <c r="BT43" i="7" s="1"/>
  <c r="AK44" i="7"/>
  <c r="BT44" i="7" s="1"/>
  <c r="AK45" i="7"/>
  <c r="BT45" i="7" s="1"/>
  <c r="AK46" i="7"/>
  <c r="BT46" i="7" s="1"/>
  <c r="AK47" i="7"/>
  <c r="AK48" i="7"/>
  <c r="BT48" i="7" s="1"/>
  <c r="AK49" i="7"/>
  <c r="BT49" i="7" s="1"/>
  <c r="AK50" i="7"/>
  <c r="BT50" i="7" s="1"/>
  <c r="AK51" i="7"/>
  <c r="BT51" i="7" s="1"/>
  <c r="AK52" i="7"/>
  <c r="BT52" i="7" s="1"/>
  <c r="AK53" i="7"/>
  <c r="BT53" i="7" s="1"/>
  <c r="AK14" i="7"/>
  <c r="BQ15" i="6"/>
  <c r="BQ16" i="6"/>
  <c r="BQ17" i="6"/>
  <c r="BQ18" i="6"/>
  <c r="BQ19" i="6"/>
  <c r="BR19" i="6" s="1"/>
  <c r="BQ20" i="6"/>
  <c r="BR20" i="6" s="1"/>
  <c r="BQ21" i="6"/>
  <c r="BR21" i="6" s="1"/>
  <c r="BQ22" i="6"/>
  <c r="BQ23" i="6"/>
  <c r="BQ24" i="6"/>
  <c r="BR24" i="6" s="1"/>
  <c r="BQ25" i="6"/>
  <c r="BR25" i="6" s="1"/>
  <c r="BQ26" i="6"/>
  <c r="BQ27" i="6"/>
  <c r="BQ28" i="6"/>
  <c r="BR28" i="6" s="1"/>
  <c r="BQ29" i="6"/>
  <c r="BR29" i="6" s="1"/>
  <c r="BQ30" i="6"/>
  <c r="BR30" i="6" s="1"/>
  <c r="BQ31" i="6"/>
  <c r="BR31" i="6" s="1"/>
  <c r="BQ32" i="6"/>
  <c r="BR32" i="6" s="1"/>
  <c r="BQ33" i="6"/>
  <c r="BR33" i="6" s="1"/>
  <c r="BQ34" i="6"/>
  <c r="BQ35" i="6"/>
  <c r="BQ36" i="6"/>
  <c r="BQ37" i="6"/>
  <c r="BQ38" i="6"/>
  <c r="BQ39" i="6"/>
  <c r="BQ40" i="6"/>
  <c r="BQ41" i="6"/>
  <c r="BQ42" i="6"/>
  <c r="BQ43" i="6"/>
  <c r="BQ44" i="6"/>
  <c r="BQ45" i="6"/>
  <c r="BQ46" i="6"/>
  <c r="BQ47" i="6"/>
  <c r="BQ48" i="6"/>
  <c r="BQ49" i="6"/>
  <c r="BQ50" i="6"/>
  <c r="BQ51" i="6"/>
  <c r="BQ52" i="6"/>
  <c r="BQ53" i="6"/>
  <c r="BQ14" i="6"/>
  <c r="AK15" i="6"/>
  <c r="BT15" i="6" s="1"/>
  <c r="AK16" i="6"/>
  <c r="BT16" i="6" s="1"/>
  <c r="AK17" i="6"/>
  <c r="AK18" i="6"/>
  <c r="BT18" i="6" s="1"/>
  <c r="AK19" i="6"/>
  <c r="AK20" i="6"/>
  <c r="BT20" i="6" s="1"/>
  <c r="AK21" i="6"/>
  <c r="AK22" i="6"/>
  <c r="BT22" i="6" s="1"/>
  <c r="AK23" i="6"/>
  <c r="AK24" i="6"/>
  <c r="BT24" i="6" s="1"/>
  <c r="AK25" i="6"/>
  <c r="AK26" i="6"/>
  <c r="BT26" i="6" s="1"/>
  <c r="AK27" i="6"/>
  <c r="AK28" i="6"/>
  <c r="AK29" i="6"/>
  <c r="AK30" i="6"/>
  <c r="BT30" i="6" s="1"/>
  <c r="AK31" i="6"/>
  <c r="AK32" i="6"/>
  <c r="BT32" i="6" s="1"/>
  <c r="AK33" i="6"/>
  <c r="AK34" i="6"/>
  <c r="BT34" i="6" s="1"/>
  <c r="AK35" i="6"/>
  <c r="AK36" i="6"/>
  <c r="BT36" i="6" s="1"/>
  <c r="AK37" i="6"/>
  <c r="BT37" i="6" s="1"/>
  <c r="AK38" i="6"/>
  <c r="BT38" i="6" s="1"/>
  <c r="AK39" i="6"/>
  <c r="AK40" i="6"/>
  <c r="BT40" i="6" s="1"/>
  <c r="AK41" i="6"/>
  <c r="BT41" i="6" s="1"/>
  <c r="AK42" i="6"/>
  <c r="BT42" i="6" s="1"/>
  <c r="AK43" i="6"/>
  <c r="AK44" i="6"/>
  <c r="BT44" i="6" s="1"/>
  <c r="AK45" i="6"/>
  <c r="BT45" i="6" s="1"/>
  <c r="AK46" i="6"/>
  <c r="AK47" i="6"/>
  <c r="AK48" i="6"/>
  <c r="BT48" i="6" s="1"/>
  <c r="AK49" i="6"/>
  <c r="BT49" i="6" s="1"/>
  <c r="AK50" i="6"/>
  <c r="BT50" i="6" s="1"/>
  <c r="AK51" i="6"/>
  <c r="AK52" i="6"/>
  <c r="BT52" i="6" s="1"/>
  <c r="AK53" i="6"/>
  <c r="BT53" i="6" s="1"/>
  <c r="AK14" i="6"/>
  <c r="BT14" i="6" s="1"/>
  <c r="BQ15" i="4"/>
  <c r="BQ16" i="4"/>
  <c r="BQ17" i="4"/>
  <c r="BQ18" i="4"/>
  <c r="BQ19" i="4"/>
  <c r="BR19" i="4" s="1"/>
  <c r="BQ20" i="4"/>
  <c r="BR20" i="4" s="1"/>
  <c r="BQ21" i="4"/>
  <c r="BR21" i="4" s="1"/>
  <c r="BQ22" i="4"/>
  <c r="BQ23" i="4"/>
  <c r="BQ24" i="4"/>
  <c r="BR24" i="4" s="1"/>
  <c r="BQ25" i="4"/>
  <c r="BR25" i="4" s="1"/>
  <c r="BQ26" i="4"/>
  <c r="BQ27" i="4"/>
  <c r="BQ28" i="4"/>
  <c r="BR28" i="4" s="1"/>
  <c r="BQ29" i="4"/>
  <c r="BR29" i="4" s="1"/>
  <c r="BQ30" i="4"/>
  <c r="BR30" i="4" s="1"/>
  <c r="BQ31" i="4"/>
  <c r="BR31" i="4" s="1"/>
  <c r="BQ32" i="4"/>
  <c r="BR32" i="4" s="1"/>
  <c r="BQ33" i="4"/>
  <c r="BR33" i="4" s="1"/>
  <c r="BQ34" i="4"/>
  <c r="BQ35" i="4"/>
  <c r="BQ36" i="4"/>
  <c r="BQ37" i="4"/>
  <c r="BQ38" i="4"/>
  <c r="BQ39" i="4"/>
  <c r="BQ40" i="4"/>
  <c r="BQ41" i="4"/>
  <c r="BQ42" i="4"/>
  <c r="BQ43" i="4"/>
  <c r="BQ44" i="4"/>
  <c r="BQ45" i="4"/>
  <c r="BQ46" i="4"/>
  <c r="BQ47" i="4"/>
  <c r="BQ48" i="4"/>
  <c r="BQ49" i="4"/>
  <c r="BQ50" i="4"/>
  <c r="BQ51" i="4"/>
  <c r="BQ52" i="4"/>
  <c r="BQ53" i="4"/>
  <c r="BQ14" i="4"/>
  <c r="AK15" i="4"/>
  <c r="BT15" i="4" s="1"/>
  <c r="AK16" i="4"/>
  <c r="BT16" i="4" s="1"/>
  <c r="AK17" i="4"/>
  <c r="BT17" i="4" s="1"/>
  <c r="AK18" i="4"/>
  <c r="BT18" i="4" s="1"/>
  <c r="AK19" i="4"/>
  <c r="AK20" i="4"/>
  <c r="AK21" i="4"/>
  <c r="AK22" i="4"/>
  <c r="BT22" i="4" s="1"/>
  <c r="AK23" i="4"/>
  <c r="BT23" i="4" s="1"/>
  <c r="AK24" i="4"/>
  <c r="AK25" i="4"/>
  <c r="AK26" i="4"/>
  <c r="BT26" i="4" s="1"/>
  <c r="AK27" i="4"/>
  <c r="AK28" i="4"/>
  <c r="AK29" i="4"/>
  <c r="BT29" i="4" s="1"/>
  <c r="AK30" i="4"/>
  <c r="BT30" i="4" s="1"/>
  <c r="AK31" i="4"/>
  <c r="AK32" i="4"/>
  <c r="AK33" i="4"/>
  <c r="BT33" i="4" s="1"/>
  <c r="AK34" i="4"/>
  <c r="BT34" i="4" s="1"/>
  <c r="AK35" i="4"/>
  <c r="BT35" i="4" s="1"/>
  <c r="AK36" i="4"/>
  <c r="BT36" i="4" s="1"/>
  <c r="AK37" i="4"/>
  <c r="BT37" i="4" s="1"/>
  <c r="AK38" i="4"/>
  <c r="BT38" i="4" s="1"/>
  <c r="AK39" i="4"/>
  <c r="BT39" i="4" s="1"/>
  <c r="AK40" i="4"/>
  <c r="BT40" i="4" s="1"/>
  <c r="AK41" i="4"/>
  <c r="AK42" i="4"/>
  <c r="BT42" i="4" s="1"/>
  <c r="AK43" i="4"/>
  <c r="BT43" i="4" s="1"/>
  <c r="AK44" i="4"/>
  <c r="BT44" i="4" s="1"/>
  <c r="AK45" i="4"/>
  <c r="BT45" i="4" s="1"/>
  <c r="AK46" i="4"/>
  <c r="BT46" i="4" s="1"/>
  <c r="AK47" i="4"/>
  <c r="BT47" i="4" s="1"/>
  <c r="AK48" i="4"/>
  <c r="BT48" i="4" s="1"/>
  <c r="AK49" i="4"/>
  <c r="AK50" i="4"/>
  <c r="BT50" i="4" s="1"/>
  <c r="AK51" i="4"/>
  <c r="BT51" i="4" s="1"/>
  <c r="AK52" i="4"/>
  <c r="BT52" i="4" s="1"/>
  <c r="AK53" i="4"/>
  <c r="BT53" i="4" s="1"/>
  <c r="AK14" i="4"/>
  <c r="BT14" i="4" s="1"/>
  <c r="D2" i="16"/>
  <c r="D1" i="16" s="1"/>
  <c r="O13" i="16" s="1"/>
  <c r="D2" i="15"/>
  <c r="D1" i="15" s="1"/>
  <c r="D2" i="14"/>
  <c r="D1" i="14" s="1"/>
  <c r="D2" i="13"/>
  <c r="D1" i="13" s="1"/>
  <c r="D2" i="12"/>
  <c r="D1" i="12" s="1"/>
  <c r="D2" i="11"/>
  <c r="D1" i="11" s="1"/>
  <c r="BN13" i="11" s="1"/>
  <c r="D2" i="10"/>
  <c r="D1" i="10" s="1"/>
  <c r="D2" i="9"/>
  <c r="D1" i="9" s="1"/>
  <c r="D2" i="8"/>
  <c r="D1" i="8" s="1"/>
  <c r="BO13" i="8" s="1"/>
  <c r="D2" i="7"/>
  <c r="D1" i="7" s="1"/>
  <c r="BO13" i="7" s="1"/>
  <c r="D2" i="6"/>
  <c r="D1" i="6" s="1"/>
  <c r="D2" i="4"/>
  <c r="D1" i="4" s="1"/>
  <c r="BT46" i="6" l="1"/>
  <c r="BT24" i="16"/>
  <c r="BT32" i="16"/>
  <c r="BT29" i="16"/>
  <c r="BT21" i="16"/>
  <c r="BT33" i="16"/>
  <c r="BR54" i="16"/>
  <c r="BT15" i="16"/>
  <c r="Q10" i="17" s="1"/>
  <c r="Q37" i="17"/>
  <c r="Q29" i="17"/>
  <c r="Q21" i="17"/>
  <c r="BT34" i="16"/>
  <c r="BT38" i="16"/>
  <c r="Q33" i="17" s="1"/>
  <c r="BT42" i="16"/>
  <c r="BT46" i="16"/>
  <c r="Q41" i="17" s="1"/>
  <c r="BT50" i="16"/>
  <c r="Q45" i="17" s="1"/>
  <c r="BQ54" i="16"/>
  <c r="BT22" i="16"/>
  <c r="Q17" i="17" s="1"/>
  <c r="BT39" i="16"/>
  <c r="Q34" i="17" s="1"/>
  <c r="BT43" i="16"/>
  <c r="Q38" i="17" s="1"/>
  <c r="BT51" i="16"/>
  <c r="Q46" i="17" s="1"/>
  <c r="Q42" i="17"/>
  <c r="Q30" i="17"/>
  <c r="BT14" i="16"/>
  <c r="Q9" i="17" s="1"/>
  <c r="BT18" i="16"/>
  <c r="Q13" i="17" s="1"/>
  <c r="BT20" i="16"/>
  <c r="Q15" i="17" s="1"/>
  <c r="BT23" i="16"/>
  <c r="Q18" i="17" s="1"/>
  <c r="BT25" i="16"/>
  <c r="Q20" i="17" s="1"/>
  <c r="BT28" i="16"/>
  <c r="Q23" i="17" s="1"/>
  <c r="BT30" i="16"/>
  <c r="Q25" i="17" s="1"/>
  <c r="BT36" i="16"/>
  <c r="Q31" i="17" s="1"/>
  <c r="BT40" i="16"/>
  <c r="Q35" i="17" s="1"/>
  <c r="BT44" i="16"/>
  <c r="Q39" i="17" s="1"/>
  <c r="BT48" i="16"/>
  <c r="Q43" i="17" s="1"/>
  <c r="BT52" i="16"/>
  <c r="Q47" i="17" s="1"/>
  <c r="BT33" i="15"/>
  <c r="BT21" i="15"/>
  <c r="BT25" i="15"/>
  <c r="BT24" i="15"/>
  <c r="BT32" i="15"/>
  <c r="BT28" i="15"/>
  <c r="BT20" i="15"/>
  <c r="BR54" i="15"/>
  <c r="P9" i="17"/>
  <c r="P13" i="17"/>
  <c r="P34" i="17"/>
  <c r="P48" i="17"/>
  <c r="P44" i="17"/>
  <c r="P40" i="17"/>
  <c r="P36" i="17"/>
  <c r="P32" i="17"/>
  <c r="P28" i="17"/>
  <c r="P16" i="17"/>
  <c r="BT22" i="15"/>
  <c r="P17" i="17" s="1"/>
  <c r="BT34" i="15"/>
  <c r="P29" i="17" s="1"/>
  <c r="BT38" i="15"/>
  <c r="P33" i="17" s="1"/>
  <c r="BT42" i="15"/>
  <c r="P37" i="17" s="1"/>
  <c r="BT46" i="15"/>
  <c r="P41" i="17" s="1"/>
  <c r="BT50" i="15"/>
  <c r="P45" i="17" s="1"/>
  <c r="P47" i="17"/>
  <c r="P43" i="17"/>
  <c r="P39" i="17"/>
  <c r="P35" i="17"/>
  <c r="P31" i="17"/>
  <c r="BT23" i="15"/>
  <c r="P18" i="17" s="1"/>
  <c r="BT26" i="15"/>
  <c r="P21" i="17" s="1"/>
  <c r="BT29" i="15"/>
  <c r="P24" i="17" s="1"/>
  <c r="BT35" i="15"/>
  <c r="P30" i="17" s="1"/>
  <c r="BT39" i="15"/>
  <c r="BT43" i="15"/>
  <c r="P38" i="17" s="1"/>
  <c r="BT47" i="15"/>
  <c r="P42" i="17" s="1"/>
  <c r="BT51" i="15"/>
  <c r="P46" i="17" s="1"/>
  <c r="BR54" i="14"/>
  <c r="BT30" i="14"/>
  <c r="O25" i="17" s="1"/>
  <c r="BT25" i="14"/>
  <c r="O20" i="17" s="1"/>
  <c r="O46" i="17"/>
  <c r="O42" i="17"/>
  <c r="O38" i="17"/>
  <c r="O34" i="17"/>
  <c r="O30" i="17"/>
  <c r="O18" i="17"/>
  <c r="BT15" i="14"/>
  <c r="O10" i="17" s="1"/>
  <c r="BT40" i="14"/>
  <c r="O35" i="17" s="1"/>
  <c r="O43" i="17"/>
  <c r="O31" i="17"/>
  <c r="O21" i="17"/>
  <c r="O47" i="17"/>
  <c r="O39" i="17"/>
  <c r="O48" i="17"/>
  <c r="O44" i="17"/>
  <c r="O40" i="17"/>
  <c r="O36" i="17"/>
  <c r="O32" i="17"/>
  <c r="O28" i="17"/>
  <c r="O24" i="17"/>
  <c r="O16" i="17"/>
  <c r="BT22" i="14"/>
  <c r="O17" i="17" s="1"/>
  <c r="BT34" i="14"/>
  <c r="O29" i="17" s="1"/>
  <c r="BT38" i="14"/>
  <c r="O33" i="17" s="1"/>
  <c r="BT42" i="14"/>
  <c r="O37" i="17" s="1"/>
  <c r="BT46" i="14"/>
  <c r="O41" i="17" s="1"/>
  <c r="BT50" i="14"/>
  <c r="O45" i="17" s="1"/>
  <c r="BT30" i="13"/>
  <c r="BR54" i="13"/>
  <c r="BT29" i="13"/>
  <c r="BT25" i="13"/>
  <c r="N20" i="17" s="1"/>
  <c r="BT28" i="13"/>
  <c r="N12" i="17"/>
  <c r="BT18" i="13"/>
  <c r="N13" i="17" s="1"/>
  <c r="BT26" i="13"/>
  <c r="N21" i="17" s="1"/>
  <c r="N47" i="17"/>
  <c r="N43" i="17"/>
  <c r="N39" i="17"/>
  <c r="N35" i="17"/>
  <c r="N31" i="17"/>
  <c r="BT24" i="13"/>
  <c r="N19" i="17" s="1"/>
  <c r="N46" i="17"/>
  <c r="N42" i="17"/>
  <c r="N38" i="17"/>
  <c r="N34" i="17"/>
  <c r="N30" i="17"/>
  <c r="N18" i="17"/>
  <c r="N10" i="17"/>
  <c r="BT16" i="13"/>
  <c r="N11" i="17" s="1"/>
  <c r="BT46" i="13"/>
  <c r="N41" i="17" s="1"/>
  <c r="BT50" i="13"/>
  <c r="N45" i="17" s="1"/>
  <c r="BT30" i="12"/>
  <c r="BT29" i="12"/>
  <c r="BT32" i="12"/>
  <c r="BT28" i="12"/>
  <c r="BT20" i="12"/>
  <c r="BT31" i="12"/>
  <c r="BT19" i="12"/>
  <c r="M14" i="17" s="1"/>
  <c r="M46" i="17"/>
  <c r="M26" i="17"/>
  <c r="BT23" i="12"/>
  <c r="M18" i="17" s="1"/>
  <c r="BT35" i="12"/>
  <c r="M30" i="17" s="1"/>
  <c r="BT39" i="12"/>
  <c r="M34" i="17" s="1"/>
  <c r="BT43" i="12"/>
  <c r="M38" i="17" s="1"/>
  <c r="BT47" i="12"/>
  <c r="M42" i="17" s="1"/>
  <c r="BT51" i="12"/>
  <c r="BT27" i="12"/>
  <c r="M22" i="17" s="1"/>
  <c r="BT36" i="12"/>
  <c r="M31" i="17" s="1"/>
  <c r="BT44" i="12"/>
  <c r="M39" i="17" s="1"/>
  <c r="BT52" i="12"/>
  <c r="M47" i="17" s="1"/>
  <c r="M43" i="17"/>
  <c r="M35" i="17"/>
  <c r="BT15" i="12"/>
  <c r="M10" i="17" s="1"/>
  <c r="BT29" i="11"/>
  <c r="BT33" i="11"/>
  <c r="BT24" i="11"/>
  <c r="H21" i="20" s="1"/>
  <c r="BT32" i="11"/>
  <c r="L27" i="17" s="1"/>
  <c r="BT21" i="11"/>
  <c r="BT31" i="11"/>
  <c r="BT19" i="11"/>
  <c r="L14" i="17" s="1"/>
  <c r="L39" i="17"/>
  <c r="BR54" i="11"/>
  <c r="L46" i="17"/>
  <c r="L42" i="17"/>
  <c r="L38" i="17"/>
  <c r="L34" i="17"/>
  <c r="L30" i="17"/>
  <c r="L10" i="17"/>
  <c r="BT20" i="11"/>
  <c r="L15" i="17" s="1"/>
  <c r="BT23" i="11"/>
  <c r="L18" i="17" s="1"/>
  <c r="BT25" i="11"/>
  <c r="L20" i="17" s="1"/>
  <c r="BT28" i="11"/>
  <c r="L23" i="17" s="1"/>
  <c r="BT36" i="11"/>
  <c r="L31" i="17" s="1"/>
  <c r="BT40" i="11"/>
  <c r="L35" i="17" s="1"/>
  <c r="BT44" i="11"/>
  <c r="BT48" i="11"/>
  <c r="L43" i="17" s="1"/>
  <c r="BT52" i="11"/>
  <c r="L47" i="17" s="1"/>
  <c r="BT30" i="10"/>
  <c r="BT25" i="10"/>
  <c r="BR54" i="10"/>
  <c r="BT24" i="10"/>
  <c r="H20" i="20" s="1"/>
  <c r="BT32" i="10"/>
  <c r="BT28" i="10"/>
  <c r="BT20" i="10"/>
  <c r="K16" i="17"/>
  <c r="BT21" i="10"/>
  <c r="BT33" i="10"/>
  <c r="K28" i="17" s="1"/>
  <c r="BT37" i="10"/>
  <c r="K32" i="17" s="1"/>
  <c r="BT41" i="10"/>
  <c r="K36" i="17" s="1"/>
  <c r="BT45" i="10"/>
  <c r="K40" i="17" s="1"/>
  <c r="BT49" i="10"/>
  <c r="K44" i="17" s="1"/>
  <c r="BT53" i="10"/>
  <c r="K48" i="17" s="1"/>
  <c r="K47" i="17"/>
  <c r="K43" i="17"/>
  <c r="K39" i="17"/>
  <c r="K35" i="17"/>
  <c r="K31" i="17"/>
  <c r="K10" i="17"/>
  <c r="BT23" i="10"/>
  <c r="K18" i="17" s="1"/>
  <c r="BT29" i="10"/>
  <c r="K24" i="17" s="1"/>
  <c r="BT35" i="10"/>
  <c r="K30" i="17" s="1"/>
  <c r="BT39" i="10"/>
  <c r="K34" i="17" s="1"/>
  <c r="BT43" i="10"/>
  <c r="K38" i="17" s="1"/>
  <c r="BT47" i="10"/>
  <c r="K42" i="17" s="1"/>
  <c r="BT51" i="10"/>
  <c r="K46" i="17" s="1"/>
  <c r="BT25" i="9"/>
  <c r="BT28" i="9"/>
  <c r="BT30" i="9"/>
  <c r="J35" i="17"/>
  <c r="BT36" i="9"/>
  <c r="J31" i="17" s="1"/>
  <c r="BT40" i="9"/>
  <c r="BT44" i="9"/>
  <c r="J39" i="17" s="1"/>
  <c r="BT48" i="9"/>
  <c r="J43" i="17" s="1"/>
  <c r="BT52" i="9"/>
  <c r="J47" i="17" s="1"/>
  <c r="J46" i="17"/>
  <c r="J42" i="17"/>
  <c r="J38" i="17"/>
  <c r="J34" i="17"/>
  <c r="J30" i="17"/>
  <c r="J22" i="17"/>
  <c r="J18" i="17"/>
  <c r="J10" i="17"/>
  <c r="BT15" i="9"/>
  <c r="J12" i="17"/>
  <c r="BT19" i="9"/>
  <c r="J14" i="17" s="1"/>
  <c r="BT31" i="9"/>
  <c r="J26" i="17" s="1"/>
  <c r="BT15" i="8"/>
  <c r="BQ54" i="8"/>
  <c r="BT26" i="8"/>
  <c r="BT39" i="8"/>
  <c r="I34" i="17" s="1"/>
  <c r="BT51" i="8"/>
  <c r="I46" i="17" s="1"/>
  <c r="I38" i="17"/>
  <c r="I42" i="17"/>
  <c r="I30" i="17"/>
  <c r="I47" i="17"/>
  <c r="I43" i="17"/>
  <c r="I39" i="17"/>
  <c r="I35" i="17"/>
  <c r="I31" i="17"/>
  <c r="BT27" i="7"/>
  <c r="BT35" i="7"/>
  <c r="H30" i="17" s="1"/>
  <c r="BT47" i="7"/>
  <c r="H42" i="17" s="1"/>
  <c r="H46" i="17"/>
  <c r="H38" i="17"/>
  <c r="H34" i="17"/>
  <c r="H47" i="17"/>
  <c r="H43" i="17"/>
  <c r="H39" i="17"/>
  <c r="H35" i="17"/>
  <c r="H31" i="17"/>
  <c r="BT24" i="7"/>
  <c r="BT33" i="6"/>
  <c r="BT29" i="6"/>
  <c r="BT21" i="6"/>
  <c r="BR54" i="6"/>
  <c r="BT28" i="6"/>
  <c r="BT27" i="6"/>
  <c r="G22" i="17" s="1"/>
  <c r="BT31" i="6"/>
  <c r="G26" i="17" s="1"/>
  <c r="G9" i="17"/>
  <c r="BT19" i="6"/>
  <c r="G14" i="17" s="1"/>
  <c r="BT17" i="6"/>
  <c r="G12" i="17" s="1"/>
  <c r="BT23" i="6"/>
  <c r="G18" i="17" s="1"/>
  <c r="BT25" i="6"/>
  <c r="G20" i="17" s="1"/>
  <c r="BT35" i="6"/>
  <c r="G30" i="17" s="1"/>
  <c r="BT39" i="6"/>
  <c r="G34" i="17" s="1"/>
  <c r="BT43" i="6"/>
  <c r="G38" i="17" s="1"/>
  <c r="BT47" i="6"/>
  <c r="G42" i="17" s="1"/>
  <c r="BT51" i="6"/>
  <c r="G46" i="17" s="1"/>
  <c r="BT32" i="4"/>
  <c r="BT20" i="4"/>
  <c r="BT21" i="4"/>
  <c r="BT19" i="4"/>
  <c r="BR54" i="4"/>
  <c r="F47" i="17"/>
  <c r="F43" i="17"/>
  <c r="F39" i="17"/>
  <c r="F35" i="17"/>
  <c r="F31" i="17"/>
  <c r="F11" i="17"/>
  <c r="BT49" i="4"/>
  <c r="F44" i="17" s="1"/>
  <c r="BT41" i="4"/>
  <c r="F36" i="17" s="1"/>
  <c r="BT28" i="4"/>
  <c r="F23" i="17" s="1"/>
  <c r="BT24" i="4"/>
  <c r="F19" i="17" s="1"/>
  <c r="F48" i="17"/>
  <c r="F40" i="17"/>
  <c r="F32" i="17"/>
  <c r="F12" i="17"/>
  <c r="BT25" i="4"/>
  <c r="F20" i="17" s="1"/>
  <c r="F46" i="17"/>
  <c r="F42" i="17"/>
  <c r="F38" i="17"/>
  <c r="F34" i="17"/>
  <c r="F30" i="17"/>
  <c r="F10" i="17"/>
  <c r="BT31" i="4"/>
  <c r="F26" i="17" s="1"/>
  <c r="BT27" i="4"/>
  <c r="F22" i="17" s="1"/>
  <c r="L54" i="21"/>
  <c r="L52" i="21"/>
  <c r="L50" i="21"/>
  <c r="L48" i="21"/>
  <c r="L46" i="21"/>
  <c r="L44" i="21"/>
  <c r="L42" i="21"/>
  <c r="L40" i="21"/>
  <c r="L38" i="21"/>
  <c r="L36" i="21"/>
  <c r="L34" i="21"/>
  <c r="L32" i="21"/>
  <c r="L30" i="21"/>
  <c r="L28" i="21"/>
  <c r="L26" i="21"/>
  <c r="L24" i="21"/>
  <c r="L22" i="21"/>
  <c r="L20" i="21"/>
  <c r="L18" i="21"/>
  <c r="L55" i="21"/>
  <c r="L53" i="21"/>
  <c r="L51" i="21"/>
  <c r="L49" i="21"/>
  <c r="L47" i="21"/>
  <c r="L45" i="21"/>
  <c r="L43" i="21"/>
  <c r="L41" i="21"/>
  <c r="L39" i="21"/>
  <c r="L37" i="21"/>
  <c r="L35" i="21"/>
  <c r="L33" i="21"/>
  <c r="L31" i="21"/>
  <c r="L29" i="21"/>
  <c r="L25" i="21"/>
  <c r="L23" i="21"/>
  <c r="L21" i="21"/>
  <c r="L19" i="21"/>
  <c r="L17" i="21"/>
  <c r="J54" i="21"/>
  <c r="J52" i="21"/>
  <c r="J50" i="21"/>
  <c r="J48" i="21"/>
  <c r="J46" i="21"/>
  <c r="J44" i="21"/>
  <c r="J42" i="21"/>
  <c r="J40" i="21"/>
  <c r="J38" i="21"/>
  <c r="J36" i="21"/>
  <c r="J34" i="21"/>
  <c r="J32" i="21"/>
  <c r="J30" i="21"/>
  <c r="J28" i="21"/>
  <c r="J26" i="21"/>
  <c r="J24" i="21"/>
  <c r="J22" i="21"/>
  <c r="J20" i="21"/>
  <c r="J18" i="21"/>
  <c r="J55" i="21"/>
  <c r="J53" i="21"/>
  <c r="J51" i="21"/>
  <c r="J49" i="21"/>
  <c r="J47" i="21"/>
  <c r="J45" i="21"/>
  <c r="J43" i="21"/>
  <c r="J41" i="21"/>
  <c r="J39" i="21"/>
  <c r="J37" i="21"/>
  <c r="J35" i="21"/>
  <c r="J33" i="21"/>
  <c r="J31" i="21"/>
  <c r="J29" i="21"/>
  <c r="J25" i="21"/>
  <c r="J23" i="21"/>
  <c r="J21" i="21"/>
  <c r="J19" i="21"/>
  <c r="J17" i="21"/>
  <c r="H54" i="21"/>
  <c r="H52" i="21"/>
  <c r="H50" i="21"/>
  <c r="H48" i="21"/>
  <c r="H46" i="21"/>
  <c r="H44" i="21"/>
  <c r="H42" i="21"/>
  <c r="H40" i="21"/>
  <c r="H38" i="21"/>
  <c r="H36" i="21"/>
  <c r="H34" i="21"/>
  <c r="H32" i="21"/>
  <c r="H30" i="21"/>
  <c r="H28" i="21"/>
  <c r="H26" i="21"/>
  <c r="H24" i="21"/>
  <c r="H22" i="21"/>
  <c r="H20" i="21"/>
  <c r="H18" i="21"/>
  <c r="H55" i="21"/>
  <c r="H53" i="21"/>
  <c r="H51" i="21"/>
  <c r="H49" i="21"/>
  <c r="H47" i="21"/>
  <c r="H45" i="21"/>
  <c r="H43" i="21"/>
  <c r="H41" i="21"/>
  <c r="H39" i="21"/>
  <c r="H37" i="21"/>
  <c r="H35" i="21"/>
  <c r="H33" i="21"/>
  <c r="H31" i="21"/>
  <c r="H29" i="21"/>
  <c r="H25" i="21"/>
  <c r="H23" i="21"/>
  <c r="H21" i="21"/>
  <c r="H19" i="21"/>
  <c r="H17" i="21"/>
  <c r="F16" i="20"/>
  <c r="G15" i="20"/>
  <c r="F26" i="20"/>
  <c r="G25" i="20"/>
  <c r="H24" i="20"/>
  <c r="E23" i="20"/>
  <c r="F22" i="20"/>
  <c r="G21" i="20"/>
  <c r="E20" i="20"/>
  <c r="H19" i="20"/>
  <c r="E17" i="20"/>
  <c r="D15" i="20"/>
  <c r="H15" i="20"/>
  <c r="G16" i="20"/>
  <c r="F17" i="20"/>
  <c r="E18" i="20"/>
  <c r="D19" i="20"/>
  <c r="D21" i="20"/>
  <c r="G22" i="20"/>
  <c r="F23" i="20"/>
  <c r="E24" i="20"/>
  <c r="D25" i="20"/>
  <c r="H25" i="20"/>
  <c r="G26" i="20"/>
  <c r="F20" i="20"/>
  <c r="E15" i="20"/>
  <c r="D16" i="20"/>
  <c r="H16" i="20"/>
  <c r="G17" i="20"/>
  <c r="F18" i="20"/>
  <c r="E19" i="20"/>
  <c r="E21" i="20"/>
  <c r="D22" i="20"/>
  <c r="H22" i="20"/>
  <c r="G23" i="20"/>
  <c r="F24" i="20"/>
  <c r="E25" i="20"/>
  <c r="D26" i="20"/>
  <c r="H26" i="20"/>
  <c r="G20" i="20"/>
  <c r="F15" i="20"/>
  <c r="E16" i="20"/>
  <c r="D17" i="20"/>
  <c r="H17" i="20"/>
  <c r="G18" i="20"/>
  <c r="F19" i="20"/>
  <c r="F21" i="20"/>
  <c r="E22" i="20"/>
  <c r="D23" i="20"/>
  <c r="H23" i="20"/>
  <c r="G24" i="20"/>
  <c r="F25" i="20"/>
  <c r="E26" i="20"/>
  <c r="D20" i="20"/>
  <c r="D18" i="20"/>
  <c r="G19" i="20"/>
  <c r="D24" i="20"/>
  <c r="BR54" i="8"/>
  <c r="BT33" i="8"/>
  <c r="BT29" i="8"/>
  <c r="BT21" i="8"/>
  <c r="BT30" i="8"/>
  <c r="BT24" i="8"/>
  <c r="H18" i="20" s="1"/>
  <c r="I10" i="17"/>
  <c r="BT19" i="8"/>
  <c r="I14" i="17" s="1"/>
  <c r="BT27" i="8"/>
  <c r="I22" i="17" s="1"/>
  <c r="BT31" i="8"/>
  <c r="I26" i="17" s="1"/>
  <c r="I12" i="17"/>
  <c r="BT14" i="8"/>
  <c r="BT20" i="8"/>
  <c r="I15" i="17" s="1"/>
  <c r="BT23" i="8"/>
  <c r="I18" i="17" s="1"/>
  <c r="BT25" i="8"/>
  <c r="I20" i="17" s="1"/>
  <c r="BT28" i="8"/>
  <c r="I23" i="17" s="1"/>
  <c r="BT32" i="8"/>
  <c r="I27" i="17" s="1"/>
  <c r="BR54" i="7"/>
  <c r="BT33" i="7"/>
  <c r="BT29" i="7"/>
  <c r="H24" i="17" s="1"/>
  <c r="BT21" i="7"/>
  <c r="H16" i="17" s="1"/>
  <c r="BT19" i="7"/>
  <c r="H14" i="17" s="1"/>
  <c r="AK54" i="7"/>
  <c r="BT28" i="7"/>
  <c r="H23" i="17" s="1"/>
  <c r="BT30" i="7"/>
  <c r="H25" i="17" s="1"/>
  <c r="H22" i="17"/>
  <c r="H10" i="17"/>
  <c r="BT17" i="7"/>
  <c r="H12" i="17" s="1"/>
  <c r="BT20" i="7"/>
  <c r="H15" i="17" s="1"/>
  <c r="BT23" i="7"/>
  <c r="H18" i="17" s="1"/>
  <c r="BT25" i="7"/>
  <c r="H20" i="17" s="1"/>
  <c r="BT31" i="7"/>
  <c r="H26" i="17" s="1"/>
  <c r="BT14" i="7"/>
  <c r="BT32" i="7"/>
  <c r="H27" i="17" s="1"/>
  <c r="Q48" i="17"/>
  <c r="Q44" i="17"/>
  <c r="Q40" i="17"/>
  <c r="Q36" i="17"/>
  <c r="Q32" i="17"/>
  <c r="Q28" i="17"/>
  <c r="Q24" i="17"/>
  <c r="Q16" i="17"/>
  <c r="Q27" i="17"/>
  <c r="Q19" i="17"/>
  <c r="Q11" i="17"/>
  <c r="Q26" i="17"/>
  <c r="Q22" i="17"/>
  <c r="Q14" i="17"/>
  <c r="BT54" i="15"/>
  <c r="P20" i="17"/>
  <c r="P27" i="17"/>
  <c r="P23" i="17"/>
  <c r="P19" i="17"/>
  <c r="P15" i="17"/>
  <c r="P11" i="17"/>
  <c r="P26" i="17"/>
  <c r="P22" i="17"/>
  <c r="P14" i="17"/>
  <c r="P25" i="17"/>
  <c r="O27" i="17"/>
  <c r="O23" i="17"/>
  <c r="O19" i="17"/>
  <c r="O15" i="17"/>
  <c r="O11" i="17"/>
  <c r="O26" i="17"/>
  <c r="O22" i="17"/>
  <c r="O14" i="17"/>
  <c r="O9" i="17"/>
  <c r="N27" i="17"/>
  <c r="N15" i="17"/>
  <c r="N26" i="17"/>
  <c r="N22" i="17"/>
  <c r="N14" i="17"/>
  <c r="N37" i="17"/>
  <c r="N33" i="17"/>
  <c r="N29" i="17"/>
  <c r="N25" i="17"/>
  <c r="N17" i="17"/>
  <c r="N23" i="17"/>
  <c r="N48" i="17"/>
  <c r="N44" i="17"/>
  <c r="N40" i="17"/>
  <c r="N36" i="17"/>
  <c r="N32" i="17"/>
  <c r="N28" i="17"/>
  <c r="N24" i="17"/>
  <c r="N16" i="17"/>
  <c r="BT54" i="12"/>
  <c r="BR54" i="12"/>
  <c r="M48" i="17"/>
  <c r="M44" i="17"/>
  <c r="M40" i="17"/>
  <c r="M36" i="17"/>
  <c r="M32" i="17"/>
  <c r="M28" i="17"/>
  <c r="M24" i="17"/>
  <c r="M20" i="17"/>
  <c r="M16" i="17"/>
  <c r="M27" i="17"/>
  <c r="M23" i="17"/>
  <c r="M19" i="17"/>
  <c r="M15" i="17"/>
  <c r="M11" i="17"/>
  <c r="BT54" i="11"/>
  <c r="L48" i="17"/>
  <c r="L44" i="17"/>
  <c r="L40" i="17"/>
  <c r="L36" i="17"/>
  <c r="L32" i="17"/>
  <c r="L28" i="17"/>
  <c r="L24" i="17"/>
  <c r="L16" i="17"/>
  <c r="L11" i="17"/>
  <c r="L26" i="17"/>
  <c r="L22" i="17"/>
  <c r="BT54" i="10"/>
  <c r="K20" i="17"/>
  <c r="K27" i="17"/>
  <c r="K23" i="17"/>
  <c r="K19" i="17"/>
  <c r="K15" i="17"/>
  <c r="K11" i="17"/>
  <c r="K26" i="17"/>
  <c r="K22" i="17"/>
  <c r="K14" i="17"/>
  <c r="BR54" i="9"/>
  <c r="J48" i="17"/>
  <c r="J44" i="17"/>
  <c r="J40" i="17"/>
  <c r="J36" i="17"/>
  <c r="J32" i="17"/>
  <c r="J28" i="17"/>
  <c r="J24" i="17"/>
  <c r="J20" i="17"/>
  <c r="J16" i="17"/>
  <c r="J23" i="17"/>
  <c r="J19" i="17"/>
  <c r="J15" i="17"/>
  <c r="J11" i="17"/>
  <c r="I48" i="17"/>
  <c r="I44" i="17"/>
  <c r="I40" i="17"/>
  <c r="I36" i="17"/>
  <c r="I32" i="17"/>
  <c r="I28" i="17"/>
  <c r="I24" i="17"/>
  <c r="I16" i="17"/>
  <c r="I19" i="17"/>
  <c r="I11" i="17"/>
  <c r="H48" i="17"/>
  <c r="H44" i="17"/>
  <c r="H40" i="17"/>
  <c r="H36" i="17"/>
  <c r="H32" i="17"/>
  <c r="H28" i="17"/>
  <c r="H19" i="17"/>
  <c r="H11" i="17"/>
  <c r="G48" i="17"/>
  <c r="G44" i="17"/>
  <c r="G40" i="17"/>
  <c r="G36" i="17"/>
  <c r="G32" i="17"/>
  <c r="G28" i="17"/>
  <c r="G24" i="17"/>
  <c r="G16" i="17"/>
  <c r="F28" i="17"/>
  <c r="F27" i="17"/>
  <c r="F24" i="17"/>
  <c r="F15" i="17"/>
  <c r="AK54" i="16"/>
  <c r="Q12" i="17"/>
  <c r="AK54" i="15"/>
  <c r="P12" i="17"/>
  <c r="BQ54" i="15"/>
  <c r="O12" i="17"/>
  <c r="AK54" i="14"/>
  <c r="BQ54" i="14"/>
  <c r="O13" i="17"/>
  <c r="N9" i="17"/>
  <c r="BQ54" i="13"/>
  <c r="AK54" i="13"/>
  <c r="M45" i="17"/>
  <c r="M41" i="17"/>
  <c r="M37" i="17"/>
  <c r="M33" i="17"/>
  <c r="M29" i="17"/>
  <c r="M25" i="17"/>
  <c r="M21" i="17"/>
  <c r="M17" i="17"/>
  <c r="M13" i="17"/>
  <c r="M9" i="17"/>
  <c r="AK54" i="12"/>
  <c r="M12" i="17"/>
  <c r="BQ54" i="12"/>
  <c r="L45" i="17"/>
  <c r="L41" i="17"/>
  <c r="L37" i="17"/>
  <c r="L33" i="17"/>
  <c r="L29" i="17"/>
  <c r="L25" i="17"/>
  <c r="L21" i="17"/>
  <c r="L17" i="17"/>
  <c r="L13" i="17"/>
  <c r="L9" i="17"/>
  <c r="AK54" i="11"/>
  <c r="L12" i="17"/>
  <c r="BQ54" i="11"/>
  <c r="K45" i="17"/>
  <c r="K41" i="17"/>
  <c r="K37" i="17"/>
  <c r="K33" i="17"/>
  <c r="K29" i="17"/>
  <c r="K25" i="17"/>
  <c r="K21" i="17"/>
  <c r="K17" i="17"/>
  <c r="K13" i="17"/>
  <c r="K9" i="17"/>
  <c r="AK54" i="10"/>
  <c r="BQ54" i="10"/>
  <c r="K12" i="17"/>
  <c r="J45" i="17"/>
  <c r="J41" i="17"/>
  <c r="J37" i="17"/>
  <c r="J33" i="17"/>
  <c r="J29" i="17"/>
  <c r="J25" i="17"/>
  <c r="J21" i="17"/>
  <c r="J17" i="17"/>
  <c r="J9" i="17"/>
  <c r="BQ54" i="9"/>
  <c r="AK54" i="9"/>
  <c r="J13" i="17"/>
  <c r="I45" i="17"/>
  <c r="I41" i="17"/>
  <c r="I37" i="17"/>
  <c r="I33" i="17"/>
  <c r="I29" i="17"/>
  <c r="I25" i="17"/>
  <c r="I21" i="17"/>
  <c r="I17" i="17"/>
  <c r="AK54" i="8"/>
  <c r="I13" i="17"/>
  <c r="H45" i="17"/>
  <c r="H41" i="17"/>
  <c r="H37" i="17"/>
  <c r="H33" i="17"/>
  <c r="H29" i="17"/>
  <c r="H21" i="17"/>
  <c r="H17" i="17"/>
  <c r="H13" i="17"/>
  <c r="BQ54" i="7"/>
  <c r="F9" i="17"/>
  <c r="G47" i="17"/>
  <c r="G43" i="17"/>
  <c r="G39" i="17"/>
  <c r="G35" i="17"/>
  <c r="G31" i="17"/>
  <c r="G27" i="17"/>
  <c r="G23" i="17"/>
  <c r="G19" i="17"/>
  <c r="G15" i="17"/>
  <c r="G11" i="17"/>
  <c r="G45" i="17"/>
  <c r="G41" i="17"/>
  <c r="G37" i="17"/>
  <c r="G33" i="17"/>
  <c r="G29" i="17"/>
  <c r="G25" i="17"/>
  <c r="G21" i="17"/>
  <c r="G17" i="17"/>
  <c r="G13" i="17"/>
  <c r="AK54" i="6"/>
  <c r="G10" i="17"/>
  <c r="BQ54" i="6"/>
  <c r="F45" i="17"/>
  <c r="F41" i="17"/>
  <c r="F37" i="17"/>
  <c r="F33" i="17"/>
  <c r="F29" i="17"/>
  <c r="F25" i="17"/>
  <c r="F21" i="17"/>
  <c r="F17" i="17"/>
  <c r="F13" i="17"/>
  <c r="F16" i="17"/>
  <c r="F18" i="17"/>
  <c r="P10" i="17"/>
  <c r="K13" i="16"/>
  <c r="AA13" i="16"/>
  <c r="S13" i="15"/>
  <c r="AI13" i="15"/>
  <c r="AZ13" i="15"/>
  <c r="BP13" i="14"/>
  <c r="BD13" i="14"/>
  <c r="AT13" i="14"/>
  <c r="AI13" i="14"/>
  <c r="W13" i="14"/>
  <c r="M13" i="14"/>
  <c r="BL13" i="14"/>
  <c r="BB13" i="14"/>
  <c r="AR13" i="14"/>
  <c r="AE13" i="14"/>
  <c r="U13" i="14"/>
  <c r="K13" i="14"/>
  <c r="BJ13" i="14"/>
  <c r="AZ13" i="14"/>
  <c r="AN13" i="14"/>
  <c r="AC13" i="14"/>
  <c r="S13" i="14"/>
  <c r="G13" i="14"/>
  <c r="BH13" i="14"/>
  <c r="AV13" i="14"/>
  <c r="AL13" i="14"/>
  <c r="AA13" i="14"/>
  <c r="O13" i="14"/>
  <c r="BL13" i="13"/>
  <c r="BB13" i="13"/>
  <c r="AR13" i="13"/>
  <c r="AE13" i="13"/>
  <c r="U13" i="13"/>
  <c r="K13" i="13"/>
  <c r="BJ13" i="13"/>
  <c r="AZ13" i="13"/>
  <c r="AN13" i="13"/>
  <c r="AC13" i="13"/>
  <c r="S13" i="13"/>
  <c r="G13" i="13"/>
  <c r="BH13" i="13"/>
  <c r="AV13" i="13"/>
  <c r="AL13" i="13"/>
  <c r="AA13" i="13"/>
  <c r="O13" i="13"/>
  <c r="BD13" i="13"/>
  <c r="AT13" i="13"/>
  <c r="AI13" i="13"/>
  <c r="W13" i="13"/>
  <c r="M13" i="13"/>
  <c r="BP13" i="12"/>
  <c r="BC13" i="12"/>
  <c r="AX13" i="12"/>
  <c r="AA13" i="12"/>
  <c r="F13" i="12"/>
  <c r="BN13" i="12"/>
  <c r="AR13" i="12"/>
  <c r="V13" i="12"/>
  <c r="K13" i="12"/>
  <c r="BH13" i="12"/>
  <c r="AM13" i="12"/>
  <c r="Q13" i="12"/>
  <c r="AG13" i="12"/>
  <c r="N13" i="11"/>
  <c r="AD13" i="11"/>
  <c r="AU13" i="11"/>
  <c r="BK13" i="11"/>
  <c r="R13" i="11"/>
  <c r="AH13" i="11"/>
  <c r="AY13" i="11"/>
  <c r="BO13" i="11"/>
  <c r="F13" i="11"/>
  <c r="V13" i="11"/>
  <c r="AM13" i="11"/>
  <c r="BC13" i="11"/>
  <c r="J13" i="11"/>
  <c r="Z13" i="11"/>
  <c r="AQ13" i="11"/>
  <c r="BG13" i="11"/>
  <c r="BO13" i="15"/>
  <c r="BK13" i="15"/>
  <c r="BG13" i="15"/>
  <c r="BC13" i="15"/>
  <c r="AY13" i="15"/>
  <c r="AU13" i="15"/>
  <c r="AQ13" i="15"/>
  <c r="AM13" i="15"/>
  <c r="AH13" i="15"/>
  <c r="AD13" i="15"/>
  <c r="Z13" i="15"/>
  <c r="V13" i="15"/>
  <c r="R13" i="15"/>
  <c r="N13" i="15"/>
  <c r="J13" i="15"/>
  <c r="F13" i="15"/>
  <c r="BN13" i="15"/>
  <c r="BJ13" i="15"/>
  <c r="BF13" i="15"/>
  <c r="BB13" i="15"/>
  <c r="AX13" i="15"/>
  <c r="AT13" i="15"/>
  <c r="AP13" i="15"/>
  <c r="AL13" i="15"/>
  <c r="AG13" i="15"/>
  <c r="AC13" i="15"/>
  <c r="Y13" i="15"/>
  <c r="U13" i="15"/>
  <c r="Q13" i="15"/>
  <c r="M13" i="15"/>
  <c r="I13" i="15"/>
  <c r="BM13" i="15"/>
  <c r="BI13" i="15"/>
  <c r="BE13" i="15"/>
  <c r="BA13" i="15"/>
  <c r="AW13" i="15"/>
  <c r="AS13" i="15"/>
  <c r="AO13" i="15"/>
  <c r="AF13" i="15"/>
  <c r="AB13" i="15"/>
  <c r="X13" i="15"/>
  <c r="T13" i="15"/>
  <c r="P13" i="15"/>
  <c r="L13" i="15"/>
  <c r="H13" i="15"/>
  <c r="O13" i="15"/>
  <c r="AE13" i="15"/>
  <c r="AV13" i="15"/>
  <c r="BL13" i="15"/>
  <c r="AT13" i="12"/>
  <c r="AY13" i="12"/>
  <c r="BD13" i="12"/>
  <c r="BJ13" i="12"/>
  <c r="BO13" i="12"/>
  <c r="G13" i="12"/>
  <c r="R13" i="12"/>
  <c r="W13" i="12"/>
  <c r="AH13" i="12"/>
  <c r="BO13" i="16"/>
  <c r="BK13" i="16"/>
  <c r="BG13" i="16"/>
  <c r="BC13" i="16"/>
  <c r="AY13" i="16"/>
  <c r="AU13" i="16"/>
  <c r="AQ13" i="16"/>
  <c r="AM13" i="16"/>
  <c r="AH13" i="16"/>
  <c r="AD13" i="16"/>
  <c r="Z13" i="16"/>
  <c r="V13" i="16"/>
  <c r="R13" i="16"/>
  <c r="N13" i="16"/>
  <c r="J13" i="16"/>
  <c r="F13" i="16"/>
  <c r="BN13" i="16"/>
  <c r="BJ13" i="16"/>
  <c r="BF13" i="16"/>
  <c r="BB13" i="16"/>
  <c r="AX13" i="16"/>
  <c r="AT13" i="16"/>
  <c r="AP13" i="16"/>
  <c r="AL13" i="16"/>
  <c r="AG13" i="16"/>
  <c r="AC13" i="16"/>
  <c r="Y13" i="16"/>
  <c r="U13" i="16"/>
  <c r="Q13" i="16"/>
  <c r="M13" i="16"/>
  <c r="I13" i="16"/>
  <c r="BM13" i="16"/>
  <c r="BI13" i="16"/>
  <c r="BE13" i="16"/>
  <c r="BA13" i="16"/>
  <c r="AW13" i="16"/>
  <c r="AS13" i="16"/>
  <c r="AO13" i="16"/>
  <c r="AJ13" i="16"/>
  <c r="AF13" i="16"/>
  <c r="AB13" i="16"/>
  <c r="X13" i="16"/>
  <c r="T13" i="16"/>
  <c r="P13" i="16"/>
  <c r="L13" i="16"/>
  <c r="H13" i="16"/>
  <c r="BP13" i="16"/>
  <c r="BL13" i="16"/>
  <c r="BH13" i="16"/>
  <c r="BD13" i="16"/>
  <c r="AZ13" i="16"/>
  <c r="AV13" i="16"/>
  <c r="AR13" i="16"/>
  <c r="AN13" i="16"/>
  <c r="AI13" i="16"/>
  <c r="AE13" i="16"/>
  <c r="I13" i="12"/>
  <c r="N13" i="12"/>
  <c r="S13" i="12"/>
  <c r="Y13" i="12"/>
  <c r="AD13" i="12"/>
  <c r="AI13" i="12"/>
  <c r="AP13" i="12"/>
  <c r="AU13" i="12"/>
  <c r="AZ13" i="12"/>
  <c r="BF13" i="12"/>
  <c r="BK13" i="12"/>
  <c r="BO13" i="13"/>
  <c r="BK13" i="13"/>
  <c r="BG13" i="13"/>
  <c r="BC13" i="13"/>
  <c r="AY13" i="13"/>
  <c r="AU13" i="13"/>
  <c r="AQ13" i="13"/>
  <c r="AM13" i="13"/>
  <c r="AH13" i="13"/>
  <c r="AD13" i="13"/>
  <c r="Z13" i="13"/>
  <c r="V13" i="13"/>
  <c r="R13" i="13"/>
  <c r="N13" i="13"/>
  <c r="J13" i="13"/>
  <c r="F13" i="13"/>
  <c r="BM13" i="13"/>
  <c r="BI13" i="13"/>
  <c r="BE13" i="13"/>
  <c r="BA13" i="13"/>
  <c r="AW13" i="13"/>
  <c r="AS13" i="13"/>
  <c r="AO13" i="13"/>
  <c r="AF13" i="13"/>
  <c r="AB13" i="13"/>
  <c r="X13" i="13"/>
  <c r="T13" i="13"/>
  <c r="P13" i="13"/>
  <c r="L13" i="13"/>
  <c r="H13" i="13"/>
  <c r="I13" i="13"/>
  <c r="Q13" i="13"/>
  <c r="Y13" i="13"/>
  <c r="AG13" i="13"/>
  <c r="AP13" i="13"/>
  <c r="AX13" i="13"/>
  <c r="BF13" i="13"/>
  <c r="BN13" i="13"/>
  <c r="G13" i="15"/>
  <c r="W13" i="15"/>
  <c r="AN13" i="15"/>
  <c r="BD13" i="15"/>
  <c r="S13" i="16"/>
  <c r="BM13" i="12"/>
  <c r="BI13" i="12"/>
  <c r="BE13" i="12"/>
  <c r="BA13" i="12"/>
  <c r="AW13" i="12"/>
  <c r="AS13" i="12"/>
  <c r="AO13" i="12"/>
  <c r="AJ13" i="12"/>
  <c r="AF13" i="12"/>
  <c r="AB13" i="12"/>
  <c r="X13" i="12"/>
  <c r="T13" i="12"/>
  <c r="P13" i="12"/>
  <c r="L13" i="12"/>
  <c r="H13" i="12"/>
  <c r="M13" i="12"/>
  <c r="AC13" i="12"/>
  <c r="AN13" i="12"/>
  <c r="J13" i="12"/>
  <c r="O13" i="12"/>
  <c r="U13" i="12"/>
  <c r="Z13" i="12"/>
  <c r="AE13" i="12"/>
  <c r="AL13" i="12"/>
  <c r="AQ13" i="12"/>
  <c r="AV13" i="12"/>
  <c r="BB13" i="12"/>
  <c r="BG13" i="12"/>
  <c r="BL13" i="12"/>
  <c r="BO13" i="14"/>
  <c r="BK13" i="14"/>
  <c r="BG13" i="14"/>
  <c r="BC13" i="14"/>
  <c r="AY13" i="14"/>
  <c r="AU13" i="14"/>
  <c r="AQ13" i="14"/>
  <c r="AM13" i="14"/>
  <c r="AH13" i="14"/>
  <c r="AD13" i="14"/>
  <c r="Z13" i="14"/>
  <c r="V13" i="14"/>
  <c r="R13" i="14"/>
  <c r="N13" i="14"/>
  <c r="J13" i="14"/>
  <c r="F13" i="14"/>
  <c r="BM13" i="14"/>
  <c r="BI13" i="14"/>
  <c r="BE13" i="14"/>
  <c r="BA13" i="14"/>
  <c r="AW13" i="14"/>
  <c r="AS13" i="14"/>
  <c r="AO13" i="14"/>
  <c r="AJ13" i="14"/>
  <c r="AF13" i="14"/>
  <c r="AB13" i="14"/>
  <c r="X13" i="14"/>
  <c r="T13" i="14"/>
  <c r="P13" i="14"/>
  <c r="L13" i="14"/>
  <c r="H13" i="14"/>
  <c r="I13" i="14"/>
  <c r="Q13" i="14"/>
  <c r="Y13" i="14"/>
  <c r="AG13" i="14"/>
  <c r="AP13" i="14"/>
  <c r="AX13" i="14"/>
  <c r="BF13" i="14"/>
  <c r="BN13" i="14"/>
  <c r="K13" i="15"/>
  <c r="AA13" i="15"/>
  <c r="AR13" i="15"/>
  <c r="BH13" i="15"/>
  <c r="G13" i="16"/>
  <c r="W13" i="16"/>
  <c r="G13" i="11"/>
  <c r="K13" i="11"/>
  <c r="O13" i="11"/>
  <c r="S13" i="11"/>
  <c r="W13" i="11"/>
  <c r="AA13" i="11"/>
  <c r="AE13" i="11"/>
  <c r="AI13" i="11"/>
  <c r="AN13" i="11"/>
  <c r="AR13" i="11"/>
  <c r="AV13" i="11"/>
  <c r="AZ13" i="11"/>
  <c r="BD13" i="11"/>
  <c r="BH13" i="11"/>
  <c r="BL13" i="11"/>
  <c r="BP13" i="11"/>
  <c r="H13" i="11"/>
  <c r="L13" i="11"/>
  <c r="P13" i="11"/>
  <c r="T13" i="11"/>
  <c r="X13" i="11"/>
  <c r="AB13" i="11"/>
  <c r="AF13" i="11"/>
  <c r="AJ13" i="11"/>
  <c r="AO13" i="11"/>
  <c r="AS13" i="11"/>
  <c r="AW13" i="11"/>
  <c r="BA13" i="11"/>
  <c r="BE13" i="11"/>
  <c r="BI13" i="11"/>
  <c r="BM13" i="11"/>
  <c r="I13" i="11"/>
  <c r="M13" i="11"/>
  <c r="Q13" i="11"/>
  <c r="U13" i="11"/>
  <c r="Y13" i="11"/>
  <c r="AC13" i="11"/>
  <c r="AG13" i="11"/>
  <c r="AL13" i="11"/>
  <c r="AP13" i="11"/>
  <c r="AT13" i="11"/>
  <c r="AX13" i="11"/>
  <c r="BB13" i="11"/>
  <c r="BF13" i="11"/>
  <c r="BJ13" i="11"/>
  <c r="BG13" i="10"/>
  <c r="AH13" i="10"/>
  <c r="N13" i="10"/>
  <c r="BN13" i="10"/>
  <c r="BJ13" i="10"/>
  <c r="BF13" i="10"/>
  <c r="BB13" i="10"/>
  <c r="AX13" i="10"/>
  <c r="AT13" i="10"/>
  <c r="AP13" i="10"/>
  <c r="AL13" i="10"/>
  <c r="AG13" i="10"/>
  <c r="AC13" i="10"/>
  <c r="Y13" i="10"/>
  <c r="U13" i="10"/>
  <c r="Q13" i="10"/>
  <c r="M13" i="10"/>
  <c r="I13" i="10"/>
  <c r="BM13" i="10"/>
  <c r="BI13" i="10"/>
  <c r="BE13" i="10"/>
  <c r="BA13" i="10"/>
  <c r="AW13" i="10"/>
  <c r="AS13" i="10"/>
  <c r="AO13" i="10"/>
  <c r="AF13" i="10"/>
  <c r="AB13" i="10"/>
  <c r="X13" i="10"/>
  <c r="T13" i="10"/>
  <c r="P13" i="10"/>
  <c r="L13" i="10"/>
  <c r="H13" i="10"/>
  <c r="AY13" i="10"/>
  <c r="R13" i="10"/>
  <c r="F13" i="10"/>
  <c r="BL13" i="10"/>
  <c r="BH13" i="10"/>
  <c r="BD13" i="10"/>
  <c r="AZ13" i="10"/>
  <c r="AV13" i="10"/>
  <c r="AR13" i="10"/>
  <c r="AN13" i="10"/>
  <c r="AI13" i="10"/>
  <c r="AE13" i="10"/>
  <c r="AA13" i="10"/>
  <c r="W13" i="10"/>
  <c r="S13" i="10"/>
  <c r="O13" i="10"/>
  <c r="K13" i="10"/>
  <c r="G13" i="10"/>
  <c r="BO13" i="10"/>
  <c r="BK13" i="10"/>
  <c r="BC13" i="10"/>
  <c r="AU13" i="10"/>
  <c r="AQ13" i="10"/>
  <c r="AM13" i="10"/>
  <c r="AD13" i="10"/>
  <c r="Z13" i="10"/>
  <c r="V13" i="10"/>
  <c r="J13" i="10"/>
  <c r="BO13" i="9"/>
  <c r="BK13" i="9"/>
  <c r="BG13" i="9"/>
  <c r="BC13" i="9"/>
  <c r="AY13" i="9"/>
  <c r="AU13" i="9"/>
  <c r="AQ13" i="9"/>
  <c r="AM13" i="9"/>
  <c r="AH13" i="9"/>
  <c r="AD13" i="9"/>
  <c r="Z13" i="9"/>
  <c r="V13" i="9"/>
  <c r="R13" i="9"/>
  <c r="N13" i="9"/>
  <c r="J13" i="9"/>
  <c r="F13" i="9"/>
  <c r="BN13" i="9"/>
  <c r="BJ13" i="9"/>
  <c r="BF13" i="9"/>
  <c r="BB13" i="9"/>
  <c r="AX13" i="9"/>
  <c r="AT13" i="9"/>
  <c r="AP13" i="9"/>
  <c r="AL13" i="9"/>
  <c r="AG13" i="9"/>
  <c r="AC13" i="9"/>
  <c r="Y13" i="9"/>
  <c r="U13" i="9"/>
  <c r="Q13" i="9"/>
  <c r="M13" i="9"/>
  <c r="I13" i="9"/>
  <c r="BM13" i="9"/>
  <c r="BE13" i="9"/>
  <c r="BA13" i="9"/>
  <c r="AW13" i="9"/>
  <c r="AO13" i="9"/>
  <c r="AJ13" i="9"/>
  <c r="AB13" i="9"/>
  <c r="T13" i="9"/>
  <c r="L13" i="9"/>
  <c r="BI13" i="9"/>
  <c r="AS13" i="9"/>
  <c r="AF13" i="9"/>
  <c r="X13" i="9"/>
  <c r="P13" i="9"/>
  <c r="H13" i="9"/>
  <c r="BP13" i="9"/>
  <c r="BL13" i="9"/>
  <c r="BH13" i="9"/>
  <c r="BD13" i="9"/>
  <c r="AZ13" i="9"/>
  <c r="AV13" i="9"/>
  <c r="AR13" i="9"/>
  <c r="AN13" i="9"/>
  <c r="AI13" i="9"/>
  <c r="AE13" i="9"/>
  <c r="AA13" i="9"/>
  <c r="W13" i="9"/>
  <c r="S13" i="9"/>
  <c r="O13" i="9"/>
  <c r="K13" i="9"/>
  <c r="G13" i="9"/>
  <c r="G13" i="8"/>
  <c r="O13" i="8"/>
  <c r="W13" i="8"/>
  <c r="AE13" i="8"/>
  <c r="AN13" i="8"/>
  <c r="AV13" i="8"/>
  <c r="BD13" i="8"/>
  <c r="BL13" i="8"/>
  <c r="H13" i="8"/>
  <c r="L13" i="8"/>
  <c r="P13" i="8"/>
  <c r="T13" i="8"/>
  <c r="X13" i="8"/>
  <c r="AB13" i="8"/>
  <c r="AF13" i="8"/>
  <c r="AO13" i="8"/>
  <c r="AS13" i="8"/>
  <c r="AW13" i="8"/>
  <c r="BA13" i="8"/>
  <c r="BE13" i="8"/>
  <c r="BI13" i="8"/>
  <c r="BM13" i="8"/>
  <c r="I13" i="8"/>
  <c r="M13" i="8"/>
  <c r="Q13" i="8"/>
  <c r="U13" i="8"/>
  <c r="Y13" i="8"/>
  <c r="AC13" i="8"/>
  <c r="AG13" i="8"/>
  <c r="AL13" i="8"/>
  <c r="AP13" i="8"/>
  <c r="AT13" i="8"/>
  <c r="AX13" i="8"/>
  <c r="BB13" i="8"/>
  <c r="BF13" i="8"/>
  <c r="BJ13" i="8"/>
  <c r="BN13" i="8"/>
  <c r="K13" i="8"/>
  <c r="S13" i="8"/>
  <c r="AA13" i="8"/>
  <c r="AI13" i="8"/>
  <c r="AR13" i="8"/>
  <c r="AZ13" i="8"/>
  <c r="BH13" i="8"/>
  <c r="F13" i="8"/>
  <c r="J13" i="8"/>
  <c r="N13" i="8"/>
  <c r="R13" i="8"/>
  <c r="V13" i="8"/>
  <c r="Z13" i="8"/>
  <c r="AD13" i="8"/>
  <c r="AH13" i="8"/>
  <c r="AM13" i="8"/>
  <c r="AQ13" i="8"/>
  <c r="AU13" i="8"/>
  <c r="AY13" i="8"/>
  <c r="BC13" i="8"/>
  <c r="BG13" i="8"/>
  <c r="BK13" i="8"/>
  <c r="G13" i="7"/>
  <c r="O13" i="7"/>
  <c r="S13" i="7"/>
  <c r="AA13" i="7"/>
  <c r="AI13" i="7"/>
  <c r="AN13" i="7"/>
  <c r="AV13" i="7"/>
  <c r="AZ13" i="7"/>
  <c r="BD13" i="7"/>
  <c r="BH13" i="7"/>
  <c r="BP13" i="7"/>
  <c r="H13" i="7"/>
  <c r="L13" i="7"/>
  <c r="P13" i="7"/>
  <c r="T13" i="7"/>
  <c r="X13" i="7"/>
  <c r="AB13" i="7"/>
  <c r="AF13" i="7"/>
  <c r="AJ13" i="7"/>
  <c r="AO13" i="7"/>
  <c r="AS13" i="7"/>
  <c r="AW13" i="7"/>
  <c r="BA13" i="7"/>
  <c r="BE13" i="7"/>
  <c r="BI13" i="7"/>
  <c r="BM13" i="7"/>
  <c r="I13" i="7"/>
  <c r="M13" i="7"/>
  <c r="Q13" i="7"/>
  <c r="U13" i="7"/>
  <c r="Y13" i="7"/>
  <c r="AC13" i="7"/>
  <c r="AG13" i="7"/>
  <c r="AL13" i="7"/>
  <c r="AP13" i="7"/>
  <c r="AT13" i="7"/>
  <c r="AX13" i="7"/>
  <c r="BB13" i="7"/>
  <c r="BF13" i="7"/>
  <c r="BJ13" i="7"/>
  <c r="BN13" i="7"/>
  <c r="K13" i="7"/>
  <c r="W13" i="7"/>
  <c r="AE13" i="7"/>
  <c r="AR13" i="7"/>
  <c r="BL13" i="7"/>
  <c r="F13" i="7"/>
  <c r="J13" i="7"/>
  <c r="N13" i="7"/>
  <c r="R13" i="7"/>
  <c r="V13" i="7"/>
  <c r="Z13" i="7"/>
  <c r="AD13" i="7"/>
  <c r="AH13" i="7"/>
  <c r="AM13" i="7"/>
  <c r="AQ13" i="7"/>
  <c r="AU13" i="7"/>
  <c r="AY13" i="7"/>
  <c r="BC13" i="7"/>
  <c r="BG13" i="7"/>
  <c r="BK13" i="7"/>
  <c r="AM13" i="6"/>
  <c r="AS13" i="6"/>
  <c r="L13" i="6"/>
  <c r="BJ13" i="6"/>
  <c r="BF13" i="6"/>
  <c r="BB13" i="6"/>
  <c r="AX13" i="6"/>
  <c r="AT13" i="6"/>
  <c r="AP13" i="6"/>
  <c r="AL13" i="6"/>
  <c r="AG13" i="6"/>
  <c r="AC13" i="6"/>
  <c r="Y13" i="6"/>
  <c r="U13" i="6"/>
  <c r="Q13" i="6"/>
  <c r="M13" i="6"/>
  <c r="I13" i="6"/>
  <c r="BM13" i="6"/>
  <c r="BI13" i="6"/>
  <c r="BA13" i="6"/>
  <c r="AW13" i="6"/>
  <c r="AF13" i="6"/>
  <c r="X13" i="6"/>
  <c r="H13" i="6"/>
  <c r="T13" i="6"/>
  <c r="BL13" i="6"/>
  <c r="BH13" i="6"/>
  <c r="BD13" i="6"/>
  <c r="AZ13" i="6"/>
  <c r="AV13" i="6"/>
  <c r="AR13" i="6"/>
  <c r="AN13" i="6"/>
  <c r="AE13" i="6"/>
  <c r="AA13" i="6"/>
  <c r="W13" i="6"/>
  <c r="S13" i="6"/>
  <c r="O13" i="6"/>
  <c r="K13" i="6"/>
  <c r="G13" i="6"/>
  <c r="BK13" i="6"/>
  <c r="BG13" i="6"/>
  <c r="BC13" i="6"/>
  <c r="AY13" i="6"/>
  <c r="AU13" i="6"/>
  <c r="AQ13" i="6"/>
  <c r="AD13" i="6"/>
  <c r="Z13" i="6"/>
  <c r="V13" i="6"/>
  <c r="R13" i="6"/>
  <c r="N13" i="6"/>
  <c r="J13" i="6"/>
  <c r="F13" i="6"/>
  <c r="BE13" i="6"/>
  <c r="AO13" i="6"/>
  <c r="AB13" i="6"/>
  <c r="P13" i="6"/>
  <c r="AM13" i="4"/>
  <c r="AN13" i="4"/>
  <c r="AO13" i="4"/>
  <c r="AP13" i="4"/>
  <c r="AQ13" i="4"/>
  <c r="AR13" i="4"/>
  <c r="AS13" i="4"/>
  <c r="AT13" i="4"/>
  <c r="AU13" i="4"/>
  <c r="AV13" i="4"/>
  <c r="AW13" i="4"/>
  <c r="AX13" i="4"/>
  <c r="AY13" i="4"/>
  <c r="AZ13" i="4"/>
  <c r="BA13" i="4"/>
  <c r="BB13" i="4"/>
  <c r="BC13" i="4"/>
  <c r="BD13" i="4"/>
  <c r="BE13" i="4"/>
  <c r="BF13" i="4"/>
  <c r="BG13" i="4"/>
  <c r="BH13" i="4"/>
  <c r="BI13" i="4"/>
  <c r="BJ13" i="4"/>
  <c r="BK13" i="4"/>
  <c r="BL13" i="4"/>
  <c r="BM13" i="4"/>
  <c r="BN13" i="4"/>
  <c r="BO13" i="4"/>
  <c r="BP13" i="4"/>
  <c r="AL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AI13" i="4"/>
  <c r="AJ13" i="4"/>
  <c r="F13" i="4"/>
  <c r="M6" i="5"/>
  <c r="L2" i="5"/>
  <c r="D2" i="5"/>
  <c r="M2" i="5" s="1"/>
  <c r="BQ54" i="4"/>
  <c r="AK54" i="4"/>
  <c r="BT54" i="16" l="1"/>
  <c r="V2" i="5"/>
  <c r="E2" i="5" s="1"/>
  <c r="N2" i="5" s="1"/>
  <c r="W2" i="5" s="1"/>
  <c r="F2" i="5" s="1"/>
  <c r="O2" i="5" s="1"/>
  <c r="X2" i="5" s="1"/>
  <c r="G2" i="5" s="1"/>
  <c r="P2" i="5" s="1"/>
  <c r="Y2" i="5" s="1"/>
  <c r="V37" i="5" s="1"/>
  <c r="V38" i="5" s="1"/>
  <c r="M31" i="21"/>
  <c r="M39" i="21"/>
  <c r="M24" i="21"/>
  <c r="M17" i="21"/>
  <c r="M25" i="21"/>
  <c r="M23" i="21"/>
  <c r="M29" i="21"/>
  <c r="M37" i="21"/>
  <c r="M22" i="21"/>
  <c r="M46" i="21"/>
  <c r="M41" i="21"/>
  <c r="M18" i="21"/>
  <c r="M26" i="21"/>
  <c r="M42" i="21"/>
  <c r="M19" i="21"/>
  <c r="M54" i="21"/>
  <c r="M21" i="21"/>
  <c r="M38" i="21"/>
  <c r="M49" i="21"/>
  <c r="M20" i="21"/>
  <c r="M45" i="21"/>
  <c r="M28" i="21"/>
  <c r="M30" i="21"/>
  <c r="M43" i="21"/>
  <c r="M35" i="21"/>
  <c r="M44" i="21"/>
  <c r="M52" i="21"/>
  <c r="M53" i="21"/>
  <c r="M51" i="21"/>
  <c r="BT54" i="14"/>
  <c r="BT54" i="13"/>
  <c r="L19" i="17"/>
  <c r="BT54" i="9"/>
  <c r="R31" i="17"/>
  <c r="R47" i="17"/>
  <c r="R10" i="17"/>
  <c r="R35" i="17"/>
  <c r="R46" i="17"/>
  <c r="R30" i="17"/>
  <c r="R42" i="17"/>
  <c r="M47" i="21"/>
  <c r="BT54" i="6"/>
  <c r="R34" i="17"/>
  <c r="R38" i="17"/>
  <c r="R43" i="17"/>
  <c r="M33" i="21"/>
  <c r="R39" i="17"/>
  <c r="H16" i="21"/>
  <c r="BT54" i="4"/>
  <c r="F14" i="17"/>
  <c r="R14" i="17" s="1"/>
  <c r="R21" i="17"/>
  <c r="R37" i="17"/>
  <c r="R32" i="17"/>
  <c r="R48" i="17"/>
  <c r="M34" i="21"/>
  <c r="M50" i="21"/>
  <c r="L27" i="21"/>
  <c r="J27" i="21"/>
  <c r="H27" i="21"/>
  <c r="M55" i="21"/>
  <c r="M36" i="21"/>
  <c r="M32" i="21"/>
  <c r="J16" i="21"/>
  <c r="I56" i="21"/>
  <c r="L16" i="21"/>
  <c r="K56" i="21"/>
  <c r="M40" i="21"/>
  <c r="M48" i="21"/>
  <c r="H27" i="20"/>
  <c r="E27" i="20"/>
  <c r="F27" i="20"/>
  <c r="G27" i="20"/>
  <c r="D27" i="20"/>
  <c r="R29" i="17"/>
  <c r="R45" i="17"/>
  <c r="R22" i="17"/>
  <c r="R18" i="17"/>
  <c r="BT54" i="8"/>
  <c r="I9" i="17"/>
  <c r="R19" i="17"/>
  <c r="R20" i="17"/>
  <c r="R26" i="17"/>
  <c r="BT54" i="7"/>
  <c r="H9" i="17"/>
  <c r="R11" i="17"/>
  <c r="R24" i="17"/>
  <c r="R40" i="17"/>
  <c r="R27" i="17"/>
  <c r="R28" i="17"/>
  <c r="R44" i="17"/>
  <c r="R23" i="17"/>
  <c r="R15" i="17"/>
  <c r="R13" i="17"/>
  <c r="R36" i="17"/>
  <c r="R16" i="17"/>
  <c r="R12" i="17"/>
  <c r="R17" i="17"/>
  <c r="R33" i="17"/>
  <c r="R25" i="17"/>
  <c r="R41" i="17"/>
  <c r="E6" i="12"/>
  <c r="E6" i="11"/>
  <c r="E6" i="6"/>
  <c r="E6" i="14"/>
  <c r="E6" i="13"/>
  <c r="E6" i="16"/>
  <c r="E6" i="15"/>
  <c r="E6" i="10"/>
  <c r="E6" i="9"/>
  <c r="E6" i="8"/>
  <c r="E6" i="7"/>
  <c r="E6" i="4"/>
  <c r="V28" i="5"/>
  <c r="W28" i="5" s="1"/>
  <c r="X28" i="5" s="1"/>
  <c r="Y28" i="5" s="1"/>
  <c r="Z28" i="5" s="1"/>
  <c r="AA28" i="5" s="1"/>
  <c r="AB28" i="5" s="1"/>
  <c r="M10" i="5"/>
  <c r="D10" i="5"/>
  <c r="D19" i="5"/>
  <c r="D20" i="5" s="1"/>
  <c r="E20" i="5" s="1"/>
  <c r="F20" i="5" s="1"/>
  <c r="G20" i="5" s="1"/>
  <c r="H20" i="5" s="1"/>
  <c r="I20" i="5" s="1"/>
  <c r="J20" i="5" s="1"/>
  <c r="V19" i="5"/>
  <c r="W19" i="5" s="1"/>
  <c r="X19" i="5" s="1"/>
  <c r="Y19" i="5" s="1"/>
  <c r="Z19" i="5" s="1"/>
  <c r="AA19" i="5" s="1"/>
  <c r="AB19" i="5" s="1"/>
  <c r="D37" i="5"/>
  <c r="V10" i="5"/>
  <c r="M19" i="5"/>
  <c r="D28" i="5"/>
  <c r="D29" i="5" s="1"/>
  <c r="M37" i="5"/>
  <c r="N37" i="5" s="1"/>
  <c r="O37" i="5" s="1"/>
  <c r="P37" i="5" s="1"/>
  <c r="Q37" i="5" s="1"/>
  <c r="R37" i="5" s="1"/>
  <c r="S37" i="5" s="1"/>
  <c r="M28" i="5"/>
  <c r="N28" i="5" s="1"/>
  <c r="O28" i="5" s="1"/>
  <c r="P28" i="5" s="1"/>
  <c r="Q28" i="5" s="1"/>
  <c r="R28" i="5" s="1"/>
  <c r="S28" i="5" s="1"/>
  <c r="V39" i="5"/>
  <c r="W38" i="5"/>
  <c r="X38" i="5" s="1"/>
  <c r="Y38" i="5" s="1"/>
  <c r="Z38" i="5" s="1"/>
  <c r="AA38" i="5" s="1"/>
  <c r="AB38" i="5" s="1"/>
  <c r="W37" i="5"/>
  <c r="X37" i="5" s="1"/>
  <c r="Y37" i="5" s="1"/>
  <c r="Z37" i="5" s="1"/>
  <c r="AA37" i="5" s="1"/>
  <c r="AB37" i="5" s="1"/>
  <c r="M29" i="5" l="1"/>
  <c r="L56" i="21"/>
  <c r="H10" i="20"/>
  <c r="V20" i="5"/>
  <c r="W20" i="5" s="1"/>
  <c r="X20" i="5" s="1"/>
  <c r="Y20" i="5" s="1"/>
  <c r="Z20" i="5" s="1"/>
  <c r="AA20" i="5" s="1"/>
  <c r="AB20" i="5" s="1"/>
  <c r="V29" i="5"/>
  <c r="E37" i="5"/>
  <c r="F37" i="5" s="1"/>
  <c r="G37" i="5" s="1"/>
  <c r="H37" i="5" s="1"/>
  <c r="I37" i="5" s="1"/>
  <c r="J37" i="5" s="1"/>
  <c r="M38" i="5"/>
  <c r="N38" i="5" s="1"/>
  <c r="O38" i="5" s="1"/>
  <c r="P38" i="5" s="1"/>
  <c r="Q38" i="5" s="1"/>
  <c r="R38" i="5" s="1"/>
  <c r="S38" i="5" s="1"/>
  <c r="G56" i="21"/>
  <c r="J56" i="21"/>
  <c r="E14" i="22"/>
  <c r="E36" i="22" s="1"/>
  <c r="E15" i="22"/>
  <c r="E37" i="22" s="1"/>
  <c r="E13" i="22"/>
  <c r="E35" i="22" s="1"/>
  <c r="M27" i="21"/>
  <c r="M16" i="21"/>
  <c r="H56" i="21"/>
  <c r="R9" i="17"/>
  <c r="E28" i="5"/>
  <c r="F28" i="5" s="1"/>
  <c r="G28" i="5" s="1"/>
  <c r="H28" i="5" s="1"/>
  <c r="I28" i="5" s="1"/>
  <c r="J28" i="5" s="1"/>
  <c r="D21" i="5"/>
  <c r="D22" i="5" s="1"/>
  <c r="N19" i="5"/>
  <c r="O19" i="5" s="1"/>
  <c r="P19" i="5" s="1"/>
  <c r="Q19" i="5" s="1"/>
  <c r="R19" i="5" s="1"/>
  <c r="S19" i="5" s="1"/>
  <c r="M20" i="5"/>
  <c r="W10" i="5"/>
  <c r="X10" i="5" s="1"/>
  <c r="Y10" i="5" s="1"/>
  <c r="Z10" i="5" s="1"/>
  <c r="AA10" i="5" s="1"/>
  <c r="AB10" i="5" s="1"/>
  <c r="V11" i="5"/>
  <c r="E10" i="5"/>
  <c r="F10" i="5" s="1"/>
  <c r="G10" i="5" s="1"/>
  <c r="H10" i="5" s="1"/>
  <c r="I10" i="5" s="1"/>
  <c r="J10" i="5" s="1"/>
  <c r="D11" i="5"/>
  <c r="E19" i="5"/>
  <c r="F19" i="5" s="1"/>
  <c r="G19" i="5" s="1"/>
  <c r="H19" i="5" s="1"/>
  <c r="I19" i="5" s="1"/>
  <c r="J19" i="5" s="1"/>
  <c r="N10" i="5"/>
  <c r="O10" i="5" s="1"/>
  <c r="P10" i="5" s="1"/>
  <c r="Q10" i="5" s="1"/>
  <c r="R10" i="5" s="1"/>
  <c r="S10" i="5" s="1"/>
  <c r="M11" i="5"/>
  <c r="V40" i="5"/>
  <c r="W39" i="5"/>
  <c r="X39" i="5" s="1"/>
  <c r="Y39" i="5" s="1"/>
  <c r="Z39" i="5" s="1"/>
  <c r="AA39" i="5" s="1"/>
  <c r="AB39" i="5" s="1"/>
  <c r="W29" i="5"/>
  <c r="X29" i="5" s="1"/>
  <c r="Y29" i="5" s="1"/>
  <c r="Z29" i="5" s="1"/>
  <c r="AA29" i="5" s="1"/>
  <c r="AB29" i="5" s="1"/>
  <c r="V30" i="5"/>
  <c r="M30" i="5"/>
  <c r="N29" i="5"/>
  <c r="O29" i="5" s="1"/>
  <c r="P29" i="5" s="1"/>
  <c r="Q29" i="5" s="1"/>
  <c r="R29" i="5" s="1"/>
  <c r="S29" i="5" s="1"/>
  <c r="D30" i="5"/>
  <c r="E30" i="5" s="1"/>
  <c r="F30" i="5" s="1"/>
  <c r="G30" i="5" s="1"/>
  <c r="H30" i="5" s="1"/>
  <c r="I30" i="5" s="1"/>
  <c r="J30" i="5" s="1"/>
  <c r="E29" i="5"/>
  <c r="F29" i="5" s="1"/>
  <c r="G29" i="5" s="1"/>
  <c r="H29" i="5" s="1"/>
  <c r="I29" i="5" s="1"/>
  <c r="J29" i="5" s="1"/>
  <c r="D38" i="5"/>
  <c r="E38" i="5" s="1"/>
  <c r="F38" i="5" s="1"/>
  <c r="G38" i="5" s="1"/>
  <c r="H38" i="5" s="1"/>
  <c r="I38" i="5" s="1"/>
  <c r="J38" i="5" s="1"/>
  <c r="V21" i="5" l="1"/>
  <c r="E21" i="5"/>
  <c r="F21" i="5" s="1"/>
  <c r="G21" i="5" s="1"/>
  <c r="H21" i="5" s="1"/>
  <c r="I21" i="5" s="1"/>
  <c r="J21" i="5" s="1"/>
  <c r="M39" i="5"/>
  <c r="D31" i="5"/>
  <c r="E31" i="5" s="1"/>
  <c r="F31" i="5" s="1"/>
  <c r="G31" i="5" s="1"/>
  <c r="H31" i="5" s="1"/>
  <c r="I31" i="5" s="1"/>
  <c r="J31" i="5" s="1"/>
  <c r="E41" i="22"/>
  <c r="E19" i="22"/>
  <c r="M56" i="21"/>
  <c r="D58" i="21" s="1"/>
  <c r="W11" i="5"/>
  <c r="X11" i="5" s="1"/>
  <c r="Y11" i="5" s="1"/>
  <c r="Z11" i="5" s="1"/>
  <c r="AA11" i="5" s="1"/>
  <c r="AB11" i="5" s="1"/>
  <c r="V12" i="5"/>
  <c r="E11" i="5"/>
  <c r="F11" i="5" s="1"/>
  <c r="G11" i="5" s="1"/>
  <c r="H11" i="5" s="1"/>
  <c r="I11" i="5" s="1"/>
  <c r="J11" i="5" s="1"/>
  <c r="D12" i="5"/>
  <c r="N20" i="5"/>
  <c r="O20" i="5" s="1"/>
  <c r="P20" i="5" s="1"/>
  <c r="Q20" i="5" s="1"/>
  <c r="R20" i="5" s="1"/>
  <c r="S20" i="5" s="1"/>
  <c r="M21" i="5"/>
  <c r="D39" i="5"/>
  <c r="D40" i="5" s="1"/>
  <c r="N11" i="5"/>
  <c r="O11" i="5" s="1"/>
  <c r="P11" i="5" s="1"/>
  <c r="Q11" i="5" s="1"/>
  <c r="R11" i="5" s="1"/>
  <c r="S11" i="5" s="1"/>
  <c r="M12" i="5"/>
  <c r="W40" i="5"/>
  <c r="X40" i="5" s="1"/>
  <c r="Y40" i="5" s="1"/>
  <c r="Z40" i="5" s="1"/>
  <c r="AA40" i="5" s="1"/>
  <c r="AB40" i="5" s="1"/>
  <c r="V41" i="5"/>
  <c r="M40" i="5"/>
  <c r="N39" i="5"/>
  <c r="O39" i="5" s="1"/>
  <c r="P39" i="5" s="1"/>
  <c r="Q39" i="5" s="1"/>
  <c r="R39" i="5" s="1"/>
  <c r="S39" i="5" s="1"/>
  <c r="V31" i="5"/>
  <c r="W30" i="5"/>
  <c r="X30" i="5" s="1"/>
  <c r="Y30" i="5" s="1"/>
  <c r="Z30" i="5" s="1"/>
  <c r="AA30" i="5" s="1"/>
  <c r="AB30" i="5" s="1"/>
  <c r="M31" i="5"/>
  <c r="N30" i="5"/>
  <c r="O30" i="5" s="1"/>
  <c r="P30" i="5" s="1"/>
  <c r="Q30" i="5" s="1"/>
  <c r="R30" i="5" s="1"/>
  <c r="S30" i="5" s="1"/>
  <c r="V22" i="5"/>
  <c r="W21" i="5"/>
  <c r="X21" i="5" s="1"/>
  <c r="Y21" i="5" s="1"/>
  <c r="Z21" i="5" s="1"/>
  <c r="AA21" i="5" s="1"/>
  <c r="AB21" i="5" s="1"/>
  <c r="E39" i="5"/>
  <c r="F39" i="5" s="1"/>
  <c r="G39" i="5" s="1"/>
  <c r="H39" i="5" s="1"/>
  <c r="I39" i="5" s="1"/>
  <c r="J39" i="5" s="1"/>
  <c r="D32" i="5"/>
  <c r="D23" i="5"/>
  <c r="E22" i="5"/>
  <c r="F22" i="5" s="1"/>
  <c r="G22" i="5" s="1"/>
  <c r="H22" i="5" s="1"/>
  <c r="I22" i="5" s="1"/>
  <c r="J22" i="5" s="1"/>
  <c r="E12" i="5" l="1"/>
  <c r="F12" i="5" s="1"/>
  <c r="G12" i="5" s="1"/>
  <c r="H12" i="5" s="1"/>
  <c r="I12" i="5" s="1"/>
  <c r="J12" i="5" s="1"/>
  <c r="D13" i="5"/>
  <c r="M22" i="5"/>
  <c r="N21" i="5"/>
  <c r="O21" i="5" s="1"/>
  <c r="P21" i="5" s="1"/>
  <c r="Q21" i="5" s="1"/>
  <c r="R21" i="5" s="1"/>
  <c r="S21" i="5" s="1"/>
  <c r="V13" i="5"/>
  <c r="W12" i="5"/>
  <c r="X12" i="5" s="1"/>
  <c r="Y12" i="5" s="1"/>
  <c r="Z12" i="5" s="1"/>
  <c r="AA12" i="5" s="1"/>
  <c r="AB12" i="5" s="1"/>
  <c r="M13" i="5"/>
  <c r="N12" i="5"/>
  <c r="O12" i="5" s="1"/>
  <c r="P12" i="5" s="1"/>
  <c r="Q12" i="5" s="1"/>
  <c r="R12" i="5" s="1"/>
  <c r="S12" i="5" s="1"/>
  <c r="W41" i="5"/>
  <c r="X41" i="5" s="1"/>
  <c r="Y41" i="5" s="1"/>
  <c r="Z41" i="5" s="1"/>
  <c r="AA41" i="5" s="1"/>
  <c r="AB41" i="5" s="1"/>
  <c r="V42" i="5"/>
  <c r="W42" i="5" s="1"/>
  <c r="X42" i="5" s="1"/>
  <c r="Y42" i="5" s="1"/>
  <c r="Z42" i="5" s="1"/>
  <c r="AA42" i="5" s="1"/>
  <c r="AB42" i="5" s="1"/>
  <c r="M41" i="5"/>
  <c r="N40" i="5"/>
  <c r="O40" i="5" s="1"/>
  <c r="P40" i="5" s="1"/>
  <c r="Q40" i="5" s="1"/>
  <c r="R40" i="5" s="1"/>
  <c r="S40" i="5" s="1"/>
  <c r="V32" i="5"/>
  <c r="W31" i="5"/>
  <c r="X31" i="5" s="1"/>
  <c r="Y31" i="5" s="1"/>
  <c r="Z31" i="5" s="1"/>
  <c r="AA31" i="5" s="1"/>
  <c r="AB31" i="5" s="1"/>
  <c r="M32" i="5"/>
  <c r="N31" i="5"/>
  <c r="O31" i="5" s="1"/>
  <c r="P31" i="5" s="1"/>
  <c r="Q31" i="5" s="1"/>
  <c r="R31" i="5" s="1"/>
  <c r="S31" i="5" s="1"/>
  <c r="V23" i="5"/>
  <c r="W22" i="5"/>
  <c r="X22" i="5" s="1"/>
  <c r="Y22" i="5" s="1"/>
  <c r="Z22" i="5" s="1"/>
  <c r="AA22" i="5" s="1"/>
  <c r="AB22" i="5" s="1"/>
  <c r="D41" i="5"/>
  <c r="E40" i="5"/>
  <c r="F40" i="5" s="1"/>
  <c r="G40" i="5" s="1"/>
  <c r="H40" i="5" s="1"/>
  <c r="I40" i="5" s="1"/>
  <c r="J40" i="5" s="1"/>
  <c r="E32" i="5"/>
  <c r="F32" i="5" s="1"/>
  <c r="G32" i="5" s="1"/>
  <c r="H32" i="5" s="1"/>
  <c r="I32" i="5" s="1"/>
  <c r="J32" i="5" s="1"/>
  <c r="D33" i="5"/>
  <c r="E33" i="5" s="1"/>
  <c r="F33" i="5" s="1"/>
  <c r="G33" i="5" s="1"/>
  <c r="H33" i="5" s="1"/>
  <c r="I33" i="5" s="1"/>
  <c r="J33" i="5" s="1"/>
  <c r="E23" i="5"/>
  <c r="F23" i="5" s="1"/>
  <c r="G23" i="5" s="1"/>
  <c r="H23" i="5" s="1"/>
  <c r="I23" i="5" s="1"/>
  <c r="J23" i="5" s="1"/>
  <c r="D24" i="5"/>
  <c r="E24" i="5" s="1"/>
  <c r="F24" i="5" s="1"/>
  <c r="G24" i="5" s="1"/>
  <c r="H24" i="5" s="1"/>
  <c r="I24" i="5" s="1"/>
  <c r="J24" i="5" s="1"/>
  <c r="M14" i="5" l="1"/>
  <c r="N13" i="5"/>
  <c r="O13" i="5" s="1"/>
  <c r="P13" i="5" s="1"/>
  <c r="Q13" i="5" s="1"/>
  <c r="R13" i="5" s="1"/>
  <c r="S13" i="5" s="1"/>
  <c r="M23" i="5"/>
  <c r="N22" i="5"/>
  <c r="O22" i="5" s="1"/>
  <c r="P22" i="5" s="1"/>
  <c r="Q22" i="5" s="1"/>
  <c r="R22" i="5" s="1"/>
  <c r="S22" i="5" s="1"/>
  <c r="D14" i="5"/>
  <c r="E13" i="5"/>
  <c r="F13" i="5" s="1"/>
  <c r="G13" i="5" s="1"/>
  <c r="H13" i="5" s="1"/>
  <c r="I13" i="5" s="1"/>
  <c r="J13" i="5" s="1"/>
  <c r="V14" i="5"/>
  <c r="W13" i="5"/>
  <c r="X13" i="5" s="1"/>
  <c r="Y13" i="5" s="1"/>
  <c r="Z13" i="5" s="1"/>
  <c r="AA13" i="5" s="1"/>
  <c r="AB13" i="5" s="1"/>
  <c r="N41" i="5"/>
  <c r="O41" i="5" s="1"/>
  <c r="P41" i="5" s="1"/>
  <c r="Q41" i="5" s="1"/>
  <c r="R41" i="5" s="1"/>
  <c r="S41" i="5" s="1"/>
  <c r="M42" i="5"/>
  <c r="N42" i="5" s="1"/>
  <c r="O42" i="5" s="1"/>
  <c r="P42" i="5" s="1"/>
  <c r="Q42" i="5" s="1"/>
  <c r="R42" i="5" s="1"/>
  <c r="S42" i="5" s="1"/>
  <c r="W32" i="5"/>
  <c r="X32" i="5" s="1"/>
  <c r="Y32" i="5" s="1"/>
  <c r="Z32" i="5" s="1"/>
  <c r="AA32" i="5" s="1"/>
  <c r="AB32" i="5" s="1"/>
  <c r="V33" i="5"/>
  <c r="W33" i="5" s="1"/>
  <c r="X33" i="5" s="1"/>
  <c r="Y33" i="5" s="1"/>
  <c r="Z33" i="5" s="1"/>
  <c r="AA33" i="5" s="1"/>
  <c r="AB33" i="5" s="1"/>
  <c r="N32" i="5"/>
  <c r="O32" i="5" s="1"/>
  <c r="P32" i="5" s="1"/>
  <c r="Q32" i="5" s="1"/>
  <c r="R32" i="5" s="1"/>
  <c r="S32" i="5" s="1"/>
  <c r="M33" i="5"/>
  <c r="N33" i="5" s="1"/>
  <c r="O33" i="5" s="1"/>
  <c r="P33" i="5" s="1"/>
  <c r="Q33" i="5" s="1"/>
  <c r="R33" i="5" s="1"/>
  <c r="S33" i="5" s="1"/>
  <c r="W23" i="5"/>
  <c r="X23" i="5" s="1"/>
  <c r="Y23" i="5" s="1"/>
  <c r="Z23" i="5" s="1"/>
  <c r="AA23" i="5" s="1"/>
  <c r="AB23" i="5" s="1"/>
  <c r="V24" i="5"/>
  <c r="W24" i="5" s="1"/>
  <c r="X24" i="5" s="1"/>
  <c r="Y24" i="5" s="1"/>
  <c r="Z24" i="5" s="1"/>
  <c r="AA24" i="5" s="1"/>
  <c r="AB24" i="5" s="1"/>
  <c r="E41" i="5"/>
  <c r="F41" i="5" s="1"/>
  <c r="G41" i="5" s="1"/>
  <c r="H41" i="5" s="1"/>
  <c r="I41" i="5" s="1"/>
  <c r="J41" i="5" s="1"/>
  <c r="D42" i="5"/>
  <c r="E42" i="5" s="1"/>
  <c r="F42" i="5" s="1"/>
  <c r="G42" i="5" s="1"/>
  <c r="H42" i="5" s="1"/>
  <c r="I42" i="5" s="1"/>
  <c r="J42" i="5" s="1"/>
  <c r="V15" i="5" l="1"/>
  <c r="W15" i="5" s="1"/>
  <c r="X15" i="5" s="1"/>
  <c r="Y15" i="5" s="1"/>
  <c r="Z15" i="5" s="1"/>
  <c r="AA15" i="5" s="1"/>
  <c r="AB15" i="5" s="1"/>
  <c r="W14" i="5"/>
  <c r="X14" i="5" s="1"/>
  <c r="Y14" i="5" s="1"/>
  <c r="Z14" i="5" s="1"/>
  <c r="AA14" i="5" s="1"/>
  <c r="AB14" i="5" s="1"/>
  <c r="N23" i="5"/>
  <c r="O23" i="5" s="1"/>
  <c r="P23" i="5" s="1"/>
  <c r="Q23" i="5" s="1"/>
  <c r="R23" i="5" s="1"/>
  <c r="S23" i="5" s="1"/>
  <c r="M24" i="5"/>
  <c r="N24" i="5" s="1"/>
  <c r="O24" i="5" s="1"/>
  <c r="P24" i="5" s="1"/>
  <c r="Q24" i="5" s="1"/>
  <c r="R24" i="5" s="1"/>
  <c r="S24" i="5" s="1"/>
  <c r="D15" i="5"/>
  <c r="E15" i="5" s="1"/>
  <c r="F15" i="5" s="1"/>
  <c r="G15" i="5" s="1"/>
  <c r="H15" i="5" s="1"/>
  <c r="I15" i="5" s="1"/>
  <c r="J15" i="5" s="1"/>
  <c r="E14" i="5"/>
  <c r="F14" i="5" s="1"/>
  <c r="G14" i="5" s="1"/>
  <c r="H14" i="5" s="1"/>
  <c r="I14" i="5" s="1"/>
  <c r="J14" i="5" s="1"/>
  <c r="M15" i="5"/>
  <c r="N15" i="5" s="1"/>
  <c r="O15" i="5" s="1"/>
  <c r="P15" i="5" s="1"/>
  <c r="Q15" i="5" s="1"/>
  <c r="R15" i="5" s="1"/>
  <c r="S15" i="5" s="1"/>
  <c r="N14" i="5"/>
  <c r="O14" i="5" s="1"/>
  <c r="P14" i="5" s="1"/>
  <c r="Q14" i="5" s="1"/>
  <c r="R14" i="5" s="1"/>
  <c r="S14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<sst xmlns="http://schemas.openxmlformats.org/spreadsheetml/2006/main" count="565" uniqueCount="188">
  <si>
    <t>DANH SÁCH NHÂN VIÊN</t>
  </si>
  <si>
    <t>STT</t>
  </si>
  <si>
    <t>Họ và tên</t>
  </si>
  <si>
    <t>MSSV</t>
  </si>
  <si>
    <t>Ngày sinh</t>
  </si>
  <si>
    <t>Quê quán</t>
  </si>
  <si>
    <t>Chức vụ</t>
  </si>
  <si>
    <t>Ban</t>
  </si>
  <si>
    <t>Ghi chú</t>
  </si>
  <si>
    <t>Ngày vào</t>
  </si>
  <si>
    <t>Ngày ra</t>
  </si>
  <si>
    <t>Họ</t>
  </si>
  <si>
    <t>Tên</t>
  </si>
  <si>
    <t>Thế hệ</t>
  </si>
  <si>
    <t>Bình</t>
  </si>
  <si>
    <t>Đoan</t>
  </si>
  <si>
    <t>Hà</t>
  </si>
  <si>
    <t>Hiệp</t>
  </si>
  <si>
    <t>Hồng</t>
  </si>
  <si>
    <t>Huệ</t>
  </si>
  <si>
    <t>Hương</t>
  </si>
  <si>
    <t>Huyên</t>
  </si>
  <si>
    <t>Mi</t>
  </si>
  <si>
    <t>Minh</t>
  </si>
  <si>
    <t>Nguyên</t>
  </si>
  <si>
    <t>Nữ</t>
  </si>
  <si>
    <t>Phương</t>
  </si>
  <si>
    <t>Quyên</t>
  </si>
  <si>
    <t>Thắng</t>
  </si>
  <si>
    <t>Tiến</t>
  </si>
  <si>
    <t>Trúc</t>
  </si>
  <si>
    <t>Trung</t>
  </si>
  <si>
    <t>Vy</t>
  </si>
  <si>
    <t>Giáo trình</t>
  </si>
  <si>
    <t>Truyền thông</t>
  </si>
  <si>
    <t>Thành viên</t>
  </si>
  <si>
    <t>VPP</t>
  </si>
  <si>
    <t>Nhân sự</t>
  </si>
  <si>
    <t>F0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</si>
  <si>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</si>
  <si>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</si>
  <si>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</si>
  <si>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</si>
  <si>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</si>
  <si>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</si>
  <si>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</si>
  <si>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</si>
  <si>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</si>
  <si>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Trưởng ban</t>
  </si>
  <si>
    <t>Số ngày làm việc</t>
  </si>
  <si>
    <t>BẢNG CHẤM CÔNG</t>
  </si>
  <si>
    <t>Quầy sách</t>
  </si>
  <si>
    <t>Quầy Photo</t>
  </si>
  <si>
    <t>Tổng</t>
  </si>
  <si>
    <t>Tổng quầy sách</t>
  </si>
  <si>
    <t>Jan</t>
  </si>
  <si>
    <t>Năm</t>
  </si>
  <si>
    <t>SUN</t>
  </si>
  <si>
    <t>MON</t>
  </si>
  <si>
    <t>TUE</t>
  </si>
  <si>
    <t>WED</t>
  </si>
  <si>
    <t>THU</t>
  </si>
  <si>
    <t>FRI</t>
  </si>
  <si>
    <t>SAT</t>
  </si>
  <si>
    <t>Apr</t>
  </si>
  <si>
    <t>Jul</t>
  </si>
  <si>
    <t>Oct</t>
  </si>
  <si>
    <t>Feb</t>
  </si>
  <si>
    <t>May</t>
  </si>
  <si>
    <t>Aug</t>
  </si>
  <si>
    <t>Nov</t>
  </si>
  <si>
    <t>Mar</t>
  </si>
  <si>
    <t>Jun</t>
  </si>
  <si>
    <t>Sep</t>
  </si>
  <si>
    <t>Dec</t>
  </si>
  <si>
    <t>THÁNG 1</t>
  </si>
  <si>
    <t>THÁNG 2</t>
  </si>
  <si>
    <t>THÁNG 3</t>
  </si>
  <si>
    <t>THÁNG 4</t>
  </si>
  <si>
    <t>THÁNG 5</t>
  </si>
  <si>
    <t>THÁNG 6</t>
  </si>
  <si>
    <t>THÁNG 8</t>
  </si>
  <si>
    <t>THÁNG 9</t>
  </si>
  <si>
    <t>THÁNG 10</t>
  </si>
  <si>
    <t>THÁNG 7</t>
  </si>
  <si>
    <t>THÁNG 11</t>
  </si>
  <si>
    <t>THÁNG 12</t>
  </si>
  <si>
    <t>Tháng 1 Năm</t>
  </si>
  <si>
    <t>Tháng 2 Năm</t>
  </si>
  <si>
    <t>Tháng 3 Năm</t>
  </si>
  <si>
    <t>Tháng 4 Năm</t>
  </si>
  <si>
    <t>Tháng 5 Năm</t>
  </si>
  <si>
    <t>Tháng 6 Năm</t>
  </si>
  <si>
    <t>Tháng 7 Năm</t>
  </si>
  <si>
    <t>Tháng 8 Năm</t>
  </si>
  <si>
    <t>Tháng 9 Năm</t>
  </si>
  <si>
    <t>Tháng 10 Năm</t>
  </si>
  <si>
    <t>Tháng 11 Năm</t>
  </si>
  <si>
    <t>Tháng 12 Năm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</si>
  <si>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</si>
  <si>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</si>
  <si>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</si>
  <si>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</si>
  <si>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</si>
  <si>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</si>
  <si>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</si>
  <si>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</si>
  <si>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</si>
  <si>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</si>
  <si>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</si>
  <si>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</si>
  <si>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BÁO CÁO TỔNG HỢP CHẤM CÔNG</t>
  </si>
  <si>
    <t>Tổng quầy photo</t>
  </si>
  <si>
    <t>Tăng ca</t>
  </si>
  <si>
    <t>Công tác ngoài</t>
  </si>
  <si>
    <t>Lê Thảo Nguyên</t>
  </si>
  <si>
    <t>GIÁM SÁT CÁ NHÂN</t>
  </si>
  <si>
    <t>Trương Thị Phú Hiệp</t>
  </si>
  <si>
    <t>Nguyễn Võ Như Bình</t>
  </si>
  <si>
    <t>Võ Khánh Đoan</t>
  </si>
  <si>
    <t>Nguyễn Thu Hà</t>
  </si>
  <si>
    <t>Nguyễn Thị Bích Hồng</t>
  </si>
  <si>
    <t>Phạm Thị Ngọc Hồng</t>
  </si>
  <si>
    <t>Phạm Thị Huệ</t>
  </si>
  <si>
    <t>Nguyễn Thị Quỳnh Hương</t>
  </si>
  <si>
    <t>Huỳnh Thanh Huyên</t>
  </si>
  <si>
    <t>Lê Hữu Di Mi</t>
  </si>
  <si>
    <t>Nguyễn Nhựt Minh</t>
  </si>
  <si>
    <t>Võ Thị Xuân Nữ</t>
  </si>
  <si>
    <t>Đỗ Thị Lan Phương</t>
  </si>
  <si>
    <t>Nguyễn Thị Nhã Quyên</t>
  </si>
  <si>
    <t>Nguyễn Đức Vĩnh Thắng</t>
  </si>
  <si>
    <t>Nguyễn Thành Tiến</t>
  </si>
  <si>
    <t>Trần Thị Trúc</t>
  </si>
  <si>
    <t>Bùi Hoàng Trung</t>
  </si>
  <si>
    <t>Ngô Trúc Tường Vy</t>
  </si>
  <si>
    <t>Tổng số ca trực</t>
  </si>
  <si>
    <t>Tháng</t>
  </si>
  <si>
    <t>Quầy photo</t>
  </si>
  <si>
    <t>BẢNG CHẤM CÔNG CÁ NHÂN</t>
  </si>
  <si>
    <t>TRƯỜNG ĐẠI HỌC KINH TẾ - LUẬT</t>
  </si>
  <si>
    <t>ĐOÀN THANH NIÊN - HỘI SINH VIÊN</t>
  </si>
  <si>
    <t>THƯ QUÁN SINH VIÊN</t>
  </si>
  <si>
    <t>CỘNG HÒA XÃ HỘI CHỦ NGHĨA VIỆT NAM</t>
  </si>
  <si>
    <t>Độc lập - Tự do - Hạnh phúc</t>
  </si>
  <si>
    <t>DANH SÁCH KÝ NHẬN LƯƠNG NHÂN VIÊN TRỰC THƯ QUÁN</t>
  </si>
  <si>
    <t>Ca trực chính</t>
  </si>
  <si>
    <t>Thực nhận</t>
  </si>
  <si>
    <t>Ký nhận</t>
  </si>
  <si>
    <t>Số ca trực</t>
  </si>
  <si>
    <t>Số tiền</t>
  </si>
  <si>
    <t>Số giờ tăng ca</t>
  </si>
  <si>
    <t>Số buổi</t>
  </si>
  <si>
    <t>A</t>
  </si>
  <si>
    <t>B</t>
  </si>
  <si>
    <t>C</t>
  </si>
  <si>
    <t>D</t>
  </si>
  <si>
    <t>E</t>
  </si>
  <si>
    <t>F</t>
  </si>
  <si>
    <t>G</t>
  </si>
  <si>
    <t>H</t>
  </si>
  <si>
    <t>I</t>
  </si>
  <si>
    <t>K</t>
  </si>
  <si>
    <t>L = F + H + K</t>
  </si>
  <si>
    <t>M</t>
  </si>
  <si>
    <t>Ngày</t>
  </si>
  <si>
    <t>TBNS</t>
  </si>
  <si>
    <t>Bí thư Đoàn Trường</t>
  </si>
  <si>
    <t>Ngô Lê Mạnh Hiếu</t>
  </si>
  <si>
    <t>Người lập bảng</t>
  </si>
  <si>
    <t>____________</t>
  </si>
  <si>
    <t>Trưởng ban Nhân sự</t>
  </si>
  <si>
    <t>Phụ trách TQ</t>
  </si>
  <si>
    <t>Chỉ tiêu</t>
  </si>
  <si>
    <t>Số lượng</t>
  </si>
  <si>
    <t>Tạm ứng</t>
  </si>
  <si>
    <t>Tiền phạt</t>
  </si>
  <si>
    <t>Khác</t>
  </si>
  <si>
    <t>Trực chính</t>
  </si>
  <si>
    <t>Liên 1</t>
  </si>
  <si>
    <t>Người lập</t>
  </si>
  <si>
    <t>Người nhận</t>
  </si>
  <si>
    <t>Liên 2</t>
  </si>
  <si>
    <t>CÀI ĐẶT</t>
  </si>
  <si>
    <t>Hướng dẫn sử dụng</t>
  </si>
  <si>
    <t>Row Labels</t>
  </si>
  <si>
    <t>Grand Total</t>
  </si>
  <si>
    <t>Sum of Tổng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</si>
</sst>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"/>
    <numFmt numFmtId="165" formatCode="dd"/>
    <numFmt numFmtId="166" formatCode="ddd"/>
    <numFmt numFmtId="167" formatCode="#,##0;\(#,##0\);&quot;&quot;"/>
    <numFmt numFmtId="168" formatCode="#,##0;\(#,##0\)"/>
  </numFmts>
  <fonts count="18" x14ac:knownFonts="1">
    <font>
      <sz val="11"/>
      <color theme="1"/>
      <name val="Calibri"/>
      <family val="2"/>
      <charset val="163"/>
    </font>
    <font>
      <sz val="8"/>
      <name val="Calibri"/>
      <family val="2"/>
      <charset val="163"/>
    </font>
    <font>
      <sz val="11"/>
      <color theme="1"/>
      <name val="Calibri Light"/>
      <family val="1"/>
      <scheme val="major"/>
    </font>
    <font>
      <b/>
      <sz val="11"/>
      <color theme="0"/>
      <name val="Calibri Light"/>
      <family val="1"/>
      <scheme val="major"/>
    </font>
    <font>
      <b/>
      <sz val="11"/>
      <color rgb="FF002060"/>
      <name val="Calibri Light"/>
      <family val="1"/>
      <scheme val="major"/>
    </font>
    <font>
      <sz val="11"/>
      <color rgb="FF002060"/>
      <name val="Calibri Light"/>
      <family val="1"/>
      <scheme val="major"/>
    </font>
    <font>
      <sz val="11"/>
      <color theme="0"/>
      <name val="Calibri Light"/>
      <family val="1"/>
      <scheme val="major"/>
    </font>
    <font>
      <b/>
      <sz val="11"/>
      <color theme="1"/>
      <name val="Calibri Light"/>
      <family val="1"/>
      <scheme val="major"/>
    </font>
    <font>
      <b/>
      <sz val="11"/>
      <color rgb="FFFF0000"/>
      <name val="Calibri Light"/>
      <family val="1"/>
      <scheme val="major"/>
    </font>
    <font>
      <sz val="11"/>
      <color rgb="FFFF0000"/>
      <name val="Calibri Light"/>
      <family val="1"/>
      <scheme val="major"/>
    </font>
    <font>
      <b/>
      <sz val="11"/>
      <color theme="5" tint="-0.499984740745262"/>
      <name val="Calibri Light"/>
      <family val="1"/>
      <scheme val="major"/>
    </font>
    <font>
      <sz val="11"/>
      <color theme="5" tint="-0.499984740745262"/>
      <name val="Calibri Light"/>
      <family val="1"/>
      <scheme val="major"/>
    </font>
    <font>
      <b/>
      <sz val="20"/>
      <color rgb="FF002060"/>
      <name val="Calibri Light"/>
      <family val="1"/>
      <scheme val="major"/>
    </font>
    <font>
      <b/>
      <sz val="14"/>
      <color rgb="FF002060"/>
      <name val="Calibri Light"/>
      <family val="1"/>
      <scheme val="major"/>
    </font>
    <font>
      <i/>
      <sz val="11"/>
      <color theme="1"/>
      <name val="Calibri Light"/>
      <family val="1"/>
      <scheme val="major"/>
    </font>
    <font>
      <sz val="11"/>
      <color theme="8" tint="-0.249977111117893"/>
      <name val="Calibri Light"/>
      <family val="1"/>
      <scheme val="major"/>
    </font>
    <font>
      <sz val="11"/>
      <color theme="8" tint="0.79998168889431442"/>
      <name val="Calibri Light"/>
      <family val="1"/>
      <scheme val="major"/>
    </font>
    <font>
      <i/>
      <sz val="11"/>
      <color rgb="FF002060"/>
      <name val="Calibri Light"/>
      <family val="1"/>
      <scheme val="maj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249977111117893"/>
        <bgColor indexed="64"/>
      </patternFill>
    </fill>
  </fills>
  <borders count="36">
    <border>
      <left/>
      <right/>
      <top/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/>
      <bottom style="dashDot">
        <color rgb="FF002060"/>
      </bottom>
      <diagonal/>
    </border>
    <border>
      <left/>
      <right/>
      <top style="dashDot">
        <color rgb="FF002060"/>
      </top>
      <bottom style="dashDot">
        <color rgb="FF002060"/>
      </bottom>
      <diagonal/>
    </border>
    <border>
      <left/>
      <right/>
      <top style="dashDot">
        <color rgb="FF002060"/>
      </top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dashDot">
        <color rgb="FF002060"/>
      </bottom>
      <diagonal/>
    </border>
    <border>
      <left style="thin">
        <color rgb="FF002060"/>
      </left>
      <right style="thin">
        <color rgb="FF002060"/>
      </right>
      <top style="dashDot">
        <color rgb="FF002060"/>
      </top>
      <bottom style="dashDot">
        <color rgb="FF002060"/>
      </bottom>
      <diagonal/>
    </border>
    <border>
      <left style="thin">
        <color rgb="FF002060"/>
      </left>
      <right style="thin">
        <color rgb="FF002060"/>
      </right>
      <top style="dashDot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/>
      <bottom style="dashDot">
        <color rgb="FF002060"/>
      </bottom>
      <diagonal/>
    </border>
    <border>
      <left style="thin">
        <color rgb="FF002060"/>
      </left>
      <right style="thin">
        <color rgb="FF002060"/>
      </right>
      <top style="dashDot">
        <color rgb="FF002060"/>
      </top>
      <bottom/>
      <diagonal/>
    </border>
    <border>
      <left style="medium">
        <color rgb="FF002060"/>
      </left>
      <right style="thin">
        <color rgb="FF002060"/>
      </right>
      <top style="dashed">
        <color rgb="FF002060"/>
      </top>
      <bottom style="dashed">
        <color rgb="FF002060"/>
      </bottom>
      <diagonal/>
    </border>
    <border>
      <left style="thin">
        <color rgb="FF002060"/>
      </left>
      <right style="thin">
        <color rgb="FF002060"/>
      </right>
      <top style="dashed">
        <color rgb="FF002060"/>
      </top>
      <bottom style="dashed">
        <color rgb="FF002060"/>
      </bottom>
      <diagonal/>
    </border>
    <border>
      <left style="thin">
        <color rgb="FF002060"/>
      </left>
      <right style="medium">
        <color rgb="FF002060"/>
      </right>
      <top style="dashed">
        <color rgb="FF002060"/>
      </top>
      <bottom style="dashed">
        <color rgb="FF002060"/>
      </bottom>
      <diagonal/>
    </border>
    <border>
      <left style="medium">
        <color rgb="FF002060"/>
      </left>
      <right style="thin">
        <color rgb="FF002060"/>
      </right>
      <top style="dashed">
        <color rgb="FF00206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 style="dashed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dashed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/>
      <bottom style="dashed">
        <color rgb="FF002060"/>
      </bottom>
      <diagonal/>
    </border>
    <border>
      <left style="thin">
        <color rgb="FF002060"/>
      </left>
      <right style="thin">
        <color rgb="FF002060"/>
      </right>
      <top/>
      <bottom style="dashed">
        <color rgb="FF002060"/>
      </bottom>
      <diagonal/>
    </border>
    <border>
      <left style="thin">
        <color rgb="FF002060"/>
      </left>
      <right style="medium">
        <color rgb="FF002060"/>
      </right>
      <top/>
      <bottom style="dashed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/>
      <diagonal/>
    </border>
    <border>
      <left style="thin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/>
      <bottom style="thin">
        <color rgb="FF002060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</borders>
  <cellStyleXfs count="1">
    <xf numFmtId="0" fontId="0" fillId="0" borderId="0"/>
  </cellStyleXfs>
  <cellXfs count="142">
    <xf numFmtId="0" fontId="0" fillId="0" borderId="0" xfId="0"/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9" xfId="0" applyFont="1" applyBorder="1"/>
    <xf numFmtId="0" fontId="2" fillId="0" borderId="6" xfId="0" applyFont="1" applyBorder="1" applyAlignment="1">
      <alignment horizontal="center"/>
    </xf>
    <xf numFmtId="0" fontId="2" fillId="0" borderId="6" xfId="0" applyFont="1" applyBorder="1"/>
    <xf numFmtId="0" fontId="2" fillId="0" borderId="7" xfId="0" applyFont="1" applyBorder="1" applyAlignment="1">
      <alignment horizontal="center"/>
    </xf>
    <xf numFmtId="0" fontId="2" fillId="0" borderId="7" xfId="0" applyFont="1" applyBorder="1"/>
    <xf numFmtId="0" fontId="3" fillId="2" borderId="5" xfId="0" applyFont="1" applyFill="1" applyBorder="1" applyAlignment="1">
      <alignment horizontal="center"/>
    </xf>
    <xf numFmtId="0" fontId="3" fillId="2" borderId="2" xfId="0" applyFont="1" applyFill="1" applyBorder="1"/>
    <xf numFmtId="0" fontId="2" fillId="0" borderId="3" xfId="0" applyFont="1" applyBorder="1"/>
    <xf numFmtId="0" fontId="2" fillId="0" borderId="4" xfId="0" applyFont="1" applyBorder="1"/>
    <xf numFmtId="0" fontId="2" fillId="0" borderId="10" xfId="0" applyFont="1" applyBorder="1" applyAlignment="1">
      <alignment horizontal="center"/>
    </xf>
    <xf numFmtId="0" fontId="2" fillId="0" borderId="10" xfId="0" applyFont="1" applyBorder="1"/>
    <xf numFmtId="0" fontId="3" fillId="2" borderId="8" xfId="0" applyFont="1" applyFill="1" applyBorder="1" applyAlignment="1">
      <alignment horizontal="center"/>
    </xf>
    <xf numFmtId="0" fontId="6" fillId="2" borderId="8" xfId="0" applyFont="1" applyFill="1" applyBorder="1"/>
    <xf numFmtId="164" fontId="4" fillId="3" borderId="1" xfId="0" applyNumberFormat="1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/>
    </xf>
    <xf numFmtId="0" fontId="2" fillId="2" borderId="0" xfId="0" applyFont="1" applyFill="1" applyProtection="1">
      <protection hidden="1"/>
    </xf>
    <xf numFmtId="0" fontId="5" fillId="2" borderId="0" xfId="0" applyFont="1" applyFill="1" applyProtection="1">
      <protection hidden="1"/>
    </xf>
    <xf numFmtId="0" fontId="2" fillId="0" borderId="0" xfId="0" applyFont="1" applyProtection="1">
      <protection hidden="1"/>
    </xf>
    <xf numFmtId="14" fontId="5" fillId="2" borderId="0" xfId="0" applyNumberFormat="1" applyFont="1" applyFill="1" applyProtection="1">
      <protection hidden="1"/>
    </xf>
    <xf numFmtId="0" fontId="3" fillId="2" borderId="1" xfId="0" applyFont="1" applyFill="1" applyBorder="1" applyAlignment="1" applyProtection="1">
      <alignment horizontal="center" vertical="center"/>
      <protection hidden="1"/>
    </xf>
    <xf numFmtId="0" fontId="8" fillId="3" borderId="20" xfId="0" applyFont="1" applyFill="1" applyBorder="1" applyAlignment="1" applyProtection="1">
      <alignment horizontal="center"/>
      <protection hidden="1"/>
    </xf>
    <xf numFmtId="0" fontId="4" fillId="3" borderId="8" xfId="0" applyFont="1" applyFill="1" applyBorder="1" applyAlignment="1" applyProtection="1">
      <alignment horizontal="center"/>
      <protection hidden="1"/>
    </xf>
    <xf numFmtId="0" fontId="10" fillId="3" borderId="21" xfId="0" applyFont="1" applyFill="1" applyBorder="1" applyAlignment="1" applyProtection="1">
      <alignment horizontal="center"/>
      <protection hidden="1"/>
    </xf>
    <xf numFmtId="165" fontId="9" fillId="0" borderId="17" xfId="0" applyNumberFormat="1" applyFont="1" applyBorder="1" applyAlignment="1" applyProtection="1">
      <alignment horizontal="center"/>
      <protection hidden="1"/>
    </xf>
    <xf numFmtId="165" fontId="2" fillId="0" borderId="18" xfId="0" applyNumberFormat="1" applyFont="1" applyBorder="1" applyAlignment="1" applyProtection="1">
      <alignment horizontal="center"/>
      <protection hidden="1"/>
    </xf>
    <xf numFmtId="165" fontId="11" fillId="0" borderId="19" xfId="0" applyNumberFormat="1" applyFont="1" applyBorder="1" applyAlignment="1" applyProtection="1">
      <alignment horizontal="center"/>
      <protection hidden="1"/>
    </xf>
    <xf numFmtId="165" fontId="9" fillId="0" borderId="11" xfId="0" applyNumberFormat="1" applyFont="1" applyBorder="1" applyAlignment="1" applyProtection="1">
      <alignment horizontal="center"/>
      <protection hidden="1"/>
    </xf>
    <xf numFmtId="165" fontId="2" fillId="0" borderId="12" xfId="0" applyNumberFormat="1" applyFont="1" applyBorder="1" applyAlignment="1" applyProtection="1">
      <alignment horizontal="center"/>
      <protection hidden="1"/>
    </xf>
    <xf numFmtId="165" fontId="11" fillId="0" borderId="13" xfId="0" applyNumberFormat="1" applyFont="1" applyBorder="1" applyAlignment="1" applyProtection="1">
      <alignment horizontal="center"/>
      <protection hidden="1"/>
    </xf>
    <xf numFmtId="165" fontId="9" fillId="0" borderId="14" xfId="0" applyNumberFormat="1" applyFont="1" applyBorder="1" applyAlignment="1" applyProtection="1">
      <alignment horizontal="center"/>
      <protection hidden="1"/>
    </xf>
    <xf numFmtId="165" fontId="2" fillId="0" borderId="15" xfId="0" applyNumberFormat="1" applyFont="1" applyBorder="1" applyAlignment="1" applyProtection="1">
      <alignment horizontal="center"/>
      <protection hidden="1"/>
    </xf>
    <xf numFmtId="165" fontId="11" fillId="0" borderId="16" xfId="0" applyNumberFormat="1" applyFont="1" applyBorder="1" applyAlignment="1" applyProtection="1">
      <alignment horizontal="center"/>
      <protection hidden="1"/>
    </xf>
    <xf numFmtId="0" fontId="3" fillId="2" borderId="8" xfId="0" applyFont="1" applyFill="1" applyBorder="1" applyAlignment="1">
      <alignment horizontal="center"/>
    </xf>
    <xf numFmtId="166" fontId="5" fillId="3" borderId="1" xfId="0" applyNumberFormat="1" applyFont="1" applyFill="1" applyBorder="1" applyAlignment="1">
      <alignment horizontal="center" vertical="top" textRotation="90"/>
    </xf>
    <xf numFmtId="0" fontId="12" fillId="0" borderId="0" xfId="0" applyFont="1"/>
    <xf numFmtId="0" fontId="2" fillId="0" borderId="0" xfId="0" applyFont="1" applyAlignment="1">
      <alignment horizontal="right"/>
    </xf>
    <xf numFmtId="0" fontId="5" fillId="3" borderId="1" xfId="0" applyFont="1" applyFill="1" applyBorder="1" applyAlignment="1">
      <alignment horizontal="right"/>
    </xf>
    <xf numFmtId="0" fontId="5" fillId="0" borderId="1" xfId="0" applyFont="1" applyBorder="1" applyAlignment="1">
      <alignment horizontal="center"/>
    </xf>
    <xf numFmtId="0" fontId="2" fillId="0" borderId="1" xfId="0" applyFont="1" applyBorder="1"/>
    <xf numFmtId="0" fontId="5" fillId="0" borderId="1" xfId="0" applyFont="1" applyBorder="1"/>
    <xf numFmtId="0" fontId="4" fillId="0" borderId="9" xfId="0" applyFont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2" fillId="0" borderId="9" xfId="0" quotePrefix="1" applyFont="1" applyBorder="1"/>
    <xf numFmtId="0" fontId="4" fillId="3" borderId="1" xfId="0" applyFont="1" applyFill="1" applyBorder="1"/>
    <xf numFmtId="168" fontId="2" fillId="0" borderId="6" xfId="0" applyNumberFormat="1" applyFont="1" applyBorder="1"/>
    <xf numFmtId="168" fontId="2" fillId="0" borderId="7" xfId="0" applyNumberFormat="1" applyFont="1" applyBorder="1"/>
    <xf numFmtId="168" fontId="2" fillId="0" borderId="9" xfId="0" applyNumberFormat="1" applyFont="1" applyBorder="1"/>
    <xf numFmtId="0" fontId="4" fillId="3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/>
    </xf>
    <xf numFmtId="168" fontId="4" fillId="3" borderId="1" xfId="0" applyNumberFormat="1" applyFont="1" applyFill="1" applyBorder="1"/>
    <xf numFmtId="0" fontId="14" fillId="0" borderId="0" xfId="0" applyFont="1" applyAlignment="1">
      <alignment horizontal="center"/>
    </xf>
    <xf numFmtId="0" fontId="3" fillId="2" borderId="1" xfId="0" applyFont="1" applyFill="1" applyBorder="1"/>
    <xf numFmtId="0" fontId="3" fillId="2" borderId="1" xfId="0" applyFont="1" applyFill="1" applyBorder="1" applyAlignment="1">
      <alignment horizontal="center"/>
    </xf>
    <xf numFmtId="168" fontId="2" fillId="0" borderId="9" xfId="0" applyNumberFormat="1" applyFont="1" applyBorder="1" applyAlignment="1">
      <alignment horizontal="center"/>
    </xf>
    <xf numFmtId="168" fontId="2" fillId="0" borderId="6" xfId="0" applyNumberFormat="1" applyFont="1" applyBorder="1" applyAlignment="1">
      <alignment horizontal="center"/>
    </xf>
    <xf numFmtId="168" fontId="2" fillId="0" borderId="10" xfId="0" applyNumberFormat="1" applyFont="1" applyBorder="1" applyAlignment="1">
      <alignment horizontal="center"/>
    </xf>
    <xf numFmtId="168" fontId="3" fillId="2" borderId="1" xfId="0" applyNumberFormat="1" applyFont="1" applyFill="1" applyBorder="1" applyAlignment="1">
      <alignment horizontal="center"/>
    </xf>
    <xf numFmtId="0" fontId="2" fillId="0" borderId="28" xfId="0" applyFont="1" applyBorder="1"/>
    <xf numFmtId="0" fontId="2" fillId="0" borderId="29" xfId="0" applyFont="1" applyBorder="1"/>
    <xf numFmtId="0" fontId="2" fillId="0" borderId="30" xfId="0" applyFont="1" applyBorder="1"/>
    <xf numFmtId="0" fontId="2" fillId="0" borderId="31" xfId="0" applyFont="1" applyBorder="1"/>
    <xf numFmtId="0" fontId="2" fillId="0" borderId="32" xfId="0" applyFont="1" applyBorder="1"/>
    <xf numFmtId="0" fontId="4" fillId="0" borderId="0" xfId="0" applyFont="1" applyBorder="1"/>
    <xf numFmtId="0" fontId="2" fillId="0" borderId="0" xfId="0" applyFont="1" applyBorder="1"/>
    <xf numFmtId="0" fontId="14" fillId="0" borderId="0" xfId="0" applyFont="1" applyBorder="1" applyAlignment="1">
      <alignment horizontal="right"/>
    </xf>
    <xf numFmtId="0" fontId="2" fillId="0" borderId="33" xfId="0" applyFont="1" applyBorder="1"/>
    <xf numFmtId="0" fontId="4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4" xfId="0" applyFont="1" applyBorder="1"/>
    <xf numFmtId="0" fontId="2" fillId="0" borderId="22" xfId="0" applyFont="1" applyBorder="1"/>
    <xf numFmtId="0" fontId="2" fillId="0" borderId="35" xfId="0" applyFont="1" applyBorder="1"/>
    <xf numFmtId="0" fontId="2" fillId="5" borderId="0" xfId="0" applyFont="1" applyFill="1" applyAlignment="1">
      <alignment horizontal="center"/>
    </xf>
    <xf numFmtId="0" fontId="2" fillId="5" borderId="0" xfId="0" applyFont="1" applyFill="1"/>
    <xf numFmtId="0" fontId="6" fillId="5" borderId="0" xfId="0" applyFont="1" applyFill="1"/>
    <xf numFmtId="0" fontId="2" fillId="0" borderId="0" xfId="0" applyFont="1" applyAlignment="1" applyProtection="1">
      <alignment horizontal="center"/>
      <protection hidden="1"/>
    </xf>
    <xf numFmtId="0" fontId="2" fillId="5" borderId="0" xfId="0" applyFont="1" applyFill="1" applyProtection="1">
      <protection hidden="1"/>
    </xf>
    <xf numFmtId="0" fontId="2" fillId="5" borderId="0" xfId="0" applyFont="1" applyFill="1" applyAlignment="1" applyProtection="1">
      <alignment horizontal="center"/>
      <protection hidden="1"/>
    </xf>
    <xf numFmtId="0" fontId="3" fillId="2" borderId="8" xfId="0" applyFont="1" applyFill="1" applyBorder="1" applyAlignment="1" applyProtection="1">
      <alignment horizontal="center" vertical="center"/>
      <protection hidden="1"/>
    </xf>
    <xf numFmtId="0" fontId="2" fillId="0" borderId="9" xfId="0" applyFont="1" applyBorder="1" applyAlignment="1" applyProtection="1">
      <alignment horizontal="center"/>
      <protection hidden="1"/>
    </xf>
    <xf numFmtId="0" fontId="2" fillId="0" borderId="9" xfId="0" applyFont="1" applyBorder="1" applyProtection="1">
      <protection hidden="1"/>
    </xf>
    <xf numFmtId="167" fontId="2" fillId="0" borderId="9" xfId="0" applyNumberFormat="1" applyFont="1" applyBorder="1" applyAlignment="1" applyProtection="1">
      <alignment horizontal="center"/>
      <protection hidden="1"/>
    </xf>
    <xf numFmtId="0" fontId="2" fillId="0" borderId="6" xfId="0" applyFont="1" applyBorder="1" applyAlignment="1" applyProtection="1">
      <alignment horizontal="center"/>
      <protection hidden="1"/>
    </xf>
    <xf numFmtId="0" fontId="2" fillId="0" borderId="6" xfId="0" applyFont="1" applyBorder="1" applyProtection="1">
      <protection hidden="1"/>
    </xf>
    <xf numFmtId="0" fontId="2" fillId="0" borderId="7" xfId="0" applyFont="1" applyBorder="1" applyAlignment="1" applyProtection="1">
      <alignment horizontal="center"/>
      <protection hidden="1"/>
    </xf>
    <xf numFmtId="167" fontId="2" fillId="0" borderId="7" xfId="0" applyNumberFormat="1" applyFont="1" applyBorder="1" applyAlignment="1" applyProtection="1">
      <alignment horizontal="center"/>
      <protection hidden="1"/>
    </xf>
    <xf numFmtId="0" fontId="2" fillId="0" borderId="7" xfId="0" applyFont="1" applyBorder="1" applyProtection="1">
      <protection hidden="1"/>
    </xf>
    <xf numFmtId="0" fontId="4" fillId="0" borderId="0" xfId="0" applyFont="1" applyProtection="1">
      <protection hidden="1"/>
    </xf>
    <xf numFmtId="0" fontId="4" fillId="0" borderId="0" xfId="0" applyFont="1" applyAlignment="1" applyProtection="1">
      <protection hidden="1"/>
    </xf>
    <xf numFmtId="0" fontId="5" fillId="3" borderId="1" xfId="0" applyFont="1" applyFill="1" applyBorder="1" applyAlignment="1" applyProtection="1">
      <alignment horizontal="center"/>
      <protection hidden="1"/>
    </xf>
    <xf numFmtId="0" fontId="5" fillId="3" borderId="1" xfId="0" applyFont="1" applyFill="1" applyBorder="1" applyAlignment="1" applyProtection="1">
      <alignment horizontal="center" vertical="center" wrapText="1"/>
      <protection hidden="1"/>
    </xf>
    <xf numFmtId="0" fontId="2" fillId="0" borderId="9" xfId="0" quotePrefix="1" applyFont="1" applyBorder="1" applyProtection="1">
      <protection hidden="1"/>
    </xf>
    <xf numFmtId="0" fontId="2" fillId="0" borderId="6" xfId="0" quotePrefix="1" applyFont="1" applyBorder="1" applyProtection="1"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2" fillId="0" borderId="10" xfId="0" quotePrefix="1" applyFont="1" applyBorder="1" applyProtection="1">
      <protection hidden="1"/>
    </xf>
    <xf numFmtId="0" fontId="4" fillId="3" borderId="1" xfId="0" applyFont="1" applyFill="1" applyBorder="1" applyAlignment="1" applyProtection="1">
      <alignment horizontal="center"/>
      <protection hidden="1"/>
    </xf>
    <xf numFmtId="0" fontId="4" fillId="3" borderId="1" xfId="0" applyFont="1" applyFill="1" applyBorder="1" applyProtection="1">
      <protection hidden="1"/>
    </xf>
    <xf numFmtId="0" fontId="2" fillId="0" borderId="0" xfId="0" applyFont="1" applyFill="1" applyAlignment="1">
      <alignment horizontal="center"/>
    </xf>
    <xf numFmtId="14" fontId="2" fillId="0" borderId="6" xfId="0" applyNumberFormat="1" applyFont="1" applyBorder="1"/>
    <xf numFmtId="0" fontId="15" fillId="6" borderId="0" xfId="0" applyFont="1" applyFill="1"/>
    <xf numFmtId="0" fontId="15" fillId="6" borderId="0" xfId="0" applyFont="1" applyFill="1" applyAlignment="1">
      <alignment horizontal="center"/>
    </xf>
    <xf numFmtId="14" fontId="15" fillId="6" borderId="0" xfId="0" applyNumberFormat="1" applyFont="1" applyFill="1"/>
    <xf numFmtId="14" fontId="15" fillId="6" borderId="0" xfId="0" applyNumberFormat="1" applyFont="1" applyFill="1" applyAlignment="1">
      <alignment horizontal="right"/>
    </xf>
    <xf numFmtId="0" fontId="15" fillId="6" borderId="0" xfId="0" applyFont="1" applyFill="1" applyProtection="1">
      <protection hidden="1"/>
    </xf>
    <xf numFmtId="0" fontId="15" fillId="6" borderId="0" xfId="0" applyFont="1" applyFill="1" applyAlignment="1" applyProtection="1">
      <alignment horizontal="center"/>
      <protection hidden="1"/>
    </xf>
    <xf numFmtId="0" fontId="16" fillId="3" borderId="0" xfId="0" applyFont="1" applyFill="1"/>
    <xf numFmtId="0" fontId="16" fillId="3" borderId="0" xfId="0" applyFont="1" applyFill="1" applyAlignment="1">
      <alignment horizontal="center"/>
    </xf>
    <xf numFmtId="0" fontId="16" fillId="3" borderId="0" xfId="0" applyFont="1" applyFill="1" applyProtection="1"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17" fillId="0" borderId="0" xfId="0" applyFont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2" fillId="0" borderId="0" xfId="0" applyFont="1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 wrapText="1"/>
    </xf>
    <xf numFmtId="0" fontId="3" fillId="2" borderId="24" xfId="0" applyFont="1" applyFill="1" applyBorder="1" applyAlignment="1">
      <alignment horizontal="center" vertical="center" wrapText="1"/>
    </xf>
    <xf numFmtId="0" fontId="3" fillId="2" borderId="25" xfId="0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center"/>
      <protection hidden="1"/>
    </xf>
    <xf numFmtId="0" fontId="3" fillId="2" borderId="1" xfId="0" applyFont="1" applyFill="1" applyBorder="1" applyAlignment="1" applyProtection="1">
      <alignment horizontal="center"/>
      <protection hidden="1"/>
    </xf>
    <xf numFmtId="0" fontId="2" fillId="0" borderId="0" xfId="0" applyFont="1" applyAlignment="1" applyProtection="1">
      <alignment horizontal="left"/>
      <protection locked="0"/>
    </xf>
    <xf numFmtId="0" fontId="4" fillId="3" borderId="26" xfId="0" applyFont="1" applyFill="1" applyBorder="1" applyAlignment="1">
      <alignment horizontal="center" vertical="center" wrapText="1"/>
    </xf>
    <xf numFmtId="0" fontId="4" fillId="3" borderId="27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2" fillId="0" borderId="0" xfId="0" quotePrefix="1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13" fillId="0" borderId="0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4" fillId="0" borderId="22" xfId="0" applyFont="1" applyBorder="1" applyAlignment="1" applyProtection="1">
      <alignment horizontal="center"/>
      <protection hidden="1"/>
    </xf>
    <xf numFmtId="0" fontId="5" fillId="0" borderId="1" xfId="0" applyFont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/>
      <protection hidden="1"/>
    </xf>
  </cellXfs>
  <cellStyles count="1">
    <cellStyle name="Normal" xfId="0" builtinId="0"/>
  </cellStyles>
  <dxfs count="37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002060"/>
      </font>
    </dxf>
    <dxf>
      <font>
        <strike val="0"/>
        <outline val="0"/>
        <shadow val="0"/>
        <u val="none"/>
        <vertAlign val="baseline"/>
        <sz val="11"/>
        <name val="Times New Roman"/>
        <family val="1"/>
        <scheme val="major"/>
      </font>
      <border diagonalUp="0" diagonalDown="0" outline="0">
        <left/>
        <right/>
        <top style="dashDot">
          <color rgb="FF002060"/>
        </top>
        <bottom style="dashDot">
          <color rgb="FF002060"/>
        </bottom>
      </border>
    </dxf>
    <dxf>
      <border>
        <top style="dashDot">
          <color rgb="FF002060"/>
        </top>
      </border>
    </dxf>
    <dxf>
      <border diagonalUp="0" diagonalDown="0">
        <left style="thin">
          <color rgb="FF002060"/>
        </left>
        <right style="thin">
          <color rgb="FF002060"/>
        </right>
        <top style="thin">
          <color rgb="FF002060"/>
        </top>
        <bottom style="thin">
          <color rgb="FF002060"/>
        </bottom>
      </border>
    </dxf>
    <dxf>
      <font>
        <strike val="0"/>
        <outline val="0"/>
        <shadow val="0"/>
        <u val="none"/>
        <vertAlign val="baseline"/>
        <sz val="11"/>
        <name val="Times New Roman"/>
        <family val="1"/>
        <scheme val="major"/>
      </font>
    </dxf>
    <dxf>
      <border>
        <bottom style="dashDot">
          <color rgb="FF002060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Times New Roman"/>
        <family val="1"/>
        <scheme val="major"/>
      </font>
      <fill>
        <patternFill patternType="solid">
          <fgColor indexed="64"/>
          <bgColor rgb="FF002060"/>
        </patternFill>
      </fill>
    </dxf>
    <dxf>
      <font>
        <strike val="0"/>
        <outline val="0"/>
        <shadow val="0"/>
        <u val="none"/>
        <vertAlign val="baseline"/>
        <sz val="11"/>
        <name val="Times New Roman"/>
        <family val="1"/>
        <scheme val="major"/>
      </font>
      <border diagonalUp="0" diagonalDown="0" outline="0">
        <left/>
        <right/>
        <top style="dashDot">
          <color rgb="FF002060"/>
        </top>
        <bottom style="dashDot">
          <color rgb="FF002060"/>
        </bottom>
      </border>
    </dxf>
    <dxf>
      <border>
        <top style="dashDot">
          <color rgb="FF002060"/>
        </top>
      </border>
    </dxf>
    <dxf>
      <border diagonalUp="0" diagonalDown="0">
        <left style="thin">
          <color rgb="FF002060"/>
        </left>
        <right style="thin">
          <color rgb="FF002060"/>
        </right>
        <top style="thin">
          <color rgb="FF002060"/>
        </top>
        <bottom style="thin">
          <color rgb="FF002060"/>
        </bottom>
      </border>
    </dxf>
    <dxf>
      <font>
        <strike val="0"/>
        <outline val="0"/>
        <shadow val="0"/>
        <u val="none"/>
        <vertAlign val="baseline"/>
        <sz val="11"/>
        <name val="Times New Roman"/>
        <family val="1"/>
        <scheme val="major"/>
      </font>
    </dxf>
    <dxf>
      <border>
        <bottom style="dashDot">
          <color rgb="FF002060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Times New Roman"/>
        <family val="1"/>
        <scheme val="major"/>
      </font>
      <fill>
        <patternFill patternType="solid">
          <fgColor indexed="64"/>
          <bgColor rgb="FF002060"/>
        </patternFill>
      </fill>
    </dxf>
  </dxfs>
  <tableStyles count="0" defaultTableStyle="TableStyleMedium2" defaultPivotStyle="PivotStyleLight16"/>
  <colors>
    <mruColors>
      <color rgb="FF2865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>
                <a:solidFill>
                  <a:srgbClr val="002060"/>
                </a:solidFill>
              </a:rPr>
              <a:t>TÌNH HÌNH TRỰC</a:t>
            </a:r>
            <a:endParaRPr lang="vi-VN" b="1">
              <a:solidFill>
                <a:srgbClr val="00206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RP_1!$D$14</c:f>
              <c:strCache>
                <c:ptCount val="1"/>
                <c:pt idx="0">
                  <c:v>Quầy sách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val>
            <c:numRef>
              <c:f>RP_1!$D$15:$D$26</c:f>
              <c:numCache>
                <c:formatCode>General</c:formatCode>
                <c:ptCount val="12"/>
                <c:pt idx="0">
                  <c:v>7</c:v>
                </c:pt>
                <c:pt idx="1">
                  <c:v>0</c:v>
                </c:pt>
                <c:pt idx="2">
                  <c:v>2</c:v>
                </c:pt>
                <c:pt idx="3">
                  <c:v>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4-4AA1-A5AC-B3CEDFFEF343}"/>
            </c:ext>
          </c:extLst>
        </c:ser>
        <c:ser>
          <c:idx val="1"/>
          <c:order val="1"/>
          <c:tx>
            <c:strRef>
              <c:f>RP_1!$E$14</c:f>
              <c:strCache>
                <c:ptCount val="1"/>
                <c:pt idx="0">
                  <c:v>Quầy photo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RP_1!$E$15:$E$26</c:f>
              <c:numCache>
                <c:formatCode>General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11</c:v>
                </c:pt>
                <c:pt idx="3">
                  <c:v>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4-4AA1-A5AC-B3CEDFFEF343}"/>
            </c:ext>
          </c:extLst>
        </c:ser>
        <c:ser>
          <c:idx val="2"/>
          <c:order val="2"/>
          <c:tx>
            <c:strRef>
              <c:f>RP_1!$F$14</c:f>
              <c:strCache>
                <c:ptCount val="1"/>
                <c:pt idx="0">
                  <c:v>Tăng 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RP_1!$F$15:$F$26</c:f>
              <c:numCache>
                <c:formatCode>General</c:formatCode>
                <c:ptCount val="12"/>
                <c:pt idx="0">
                  <c:v>7</c:v>
                </c:pt>
                <c:pt idx="1">
                  <c:v>0</c:v>
                </c:pt>
                <c:pt idx="2">
                  <c:v>5.5</c:v>
                </c:pt>
                <c:pt idx="3">
                  <c:v>4.5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4-4AA1-A5AC-B3CEDFFEF343}"/>
            </c:ext>
          </c:extLst>
        </c:ser>
        <c:ser>
          <c:idx val="3"/>
          <c:order val="3"/>
          <c:tx>
            <c:strRef>
              <c:f>RP_1!$G$14</c:f>
              <c:strCache>
                <c:ptCount val="1"/>
                <c:pt idx="0">
                  <c:v>Công tác ngoài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val>
            <c:numRef>
              <c:f>RP_1!$G$15:$G$26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64-4AA1-A5AC-B3CEDFFEF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1429408"/>
        <c:axId val="301433568"/>
      </c:lineChart>
      <c:catAx>
        <c:axId val="301429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01433568"/>
        <c:crosses val="autoZero"/>
        <c:auto val="1"/>
        <c:lblAlgn val="ctr"/>
        <c:lblOffset val="100"/>
        <c:noMultiLvlLbl val="0"/>
      </c:catAx>
      <c:valAx>
        <c:axId val="30143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01429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>
                <a:solidFill>
                  <a:srgbClr val="002060"/>
                </a:solidFill>
              </a:rPr>
              <a:t>CƠ CẤU TRỰC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317E-4D97-BD7C-42A071BADC06}"/>
              </c:ext>
            </c:extLst>
          </c:dPt>
          <c:dPt>
            <c:idx val="1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17E-4D97-BD7C-42A071BADC06}"/>
              </c:ext>
            </c:extLst>
          </c:dPt>
          <c:dLbls>
            <c:dLbl>
              <c:idx val="0"/>
              <c:layout>
                <c:manualLayout>
                  <c:x val="-0.12203703703703704"/>
                  <c:y val="8.0399999999999944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7E-4D97-BD7C-42A071BADC06}"/>
                </c:ext>
              </c:extLst>
            </c:dLbl>
            <c:dLbl>
              <c:idx val="1"/>
              <c:layout>
                <c:manualLayout>
                  <c:x val="0.13122777777777778"/>
                  <c:y val="-9.559074074074074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7E-4D97-BD7C-42A071BADC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RP_1!$D$14:$E$14</c:f>
              <c:strCache>
                <c:ptCount val="2"/>
                <c:pt idx="0">
                  <c:v>Quầy sách</c:v>
                </c:pt>
                <c:pt idx="1">
                  <c:v>Quầy photo</c:v>
                </c:pt>
              </c:strCache>
            </c:strRef>
          </c:cat>
          <c:val>
            <c:numRef>
              <c:f>RP_1!$D$27:$E$27</c:f>
              <c:numCache>
                <c:formatCode>General</c:formatCode>
                <c:ptCount val="2"/>
                <c:pt idx="0">
                  <c:v>18</c:v>
                </c:pt>
                <c:pt idx="1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7E-4D97-BD7C-42A071BADC0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[HRM_TQSV.xlsm]PivotTable!Tongquan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00206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400" b="1" i="0" u="none" strike="noStrike" kern="1200" spc="0" baseline="0">
                <a:solidFill>
                  <a:srgbClr val="00206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TỔNG QUAN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00206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PivotTable!$B$3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PivotTable!$A$4:$A$24</c:f>
              <c:strCache>
                <c:ptCount val="20"/>
                <c:pt idx="0">
                  <c:v>Bùi Hoàng Trung</c:v>
                </c:pt>
                <c:pt idx="1">
                  <c:v>Nguyễn Thị Nhã Quyên</c:v>
                </c:pt>
                <c:pt idx="2">
                  <c:v>Ngô Trúc Tường Vy</c:v>
                </c:pt>
                <c:pt idx="3">
                  <c:v>Huỳnh Thanh Huyên</c:v>
                </c:pt>
                <c:pt idx="4">
                  <c:v>Nguyễn Thị Bích Hồng</c:v>
                </c:pt>
                <c:pt idx="5">
                  <c:v>Võ Thị Xuân Nữ</c:v>
                </c:pt>
                <c:pt idx="6">
                  <c:v>Trần Thị Trúc</c:v>
                </c:pt>
                <c:pt idx="7">
                  <c:v>Đỗ Thị Lan Phương</c:v>
                </c:pt>
                <c:pt idx="8">
                  <c:v>Nguyễn Thành Tiến</c:v>
                </c:pt>
                <c:pt idx="9">
                  <c:v>Trương Thị Phú Hiệp</c:v>
                </c:pt>
                <c:pt idx="10">
                  <c:v>Nguyễn Thị Quỳnh Hương</c:v>
                </c:pt>
                <c:pt idx="11">
                  <c:v>Phạm Thị Ngọc Hồng</c:v>
                </c:pt>
                <c:pt idx="12">
                  <c:v>Võ Khánh Đoan</c:v>
                </c:pt>
                <c:pt idx="13">
                  <c:v>Nguyễn Đức Vĩnh Thắng</c:v>
                </c:pt>
                <c:pt idx="14">
                  <c:v>Nguyễn Võ Như Bình</c:v>
                </c:pt>
                <c:pt idx="15">
                  <c:v>Nguyễn Thu Hà</c:v>
                </c:pt>
                <c:pt idx="16">
                  <c:v>Lê Thảo Nguyên</c:v>
                </c:pt>
                <c:pt idx="17">
                  <c:v>Lê Hữu Di Mi</c:v>
                </c:pt>
                <c:pt idx="18">
                  <c:v>Nguyễn Nhựt Minh</c:v>
                </c:pt>
                <c:pt idx="19">
                  <c:v>Phạm Thị Huệ</c:v>
                </c:pt>
              </c:strCache>
            </c:strRef>
          </c:cat>
          <c:val>
            <c:numRef>
              <c:f>PivotTable!$B$4:$B$24</c:f>
              <c:numCache>
                <c:formatCode>General</c:formatCode>
                <c:ptCount val="20"/>
                <c:pt idx="0">
                  <c:v>8</c:v>
                </c:pt>
                <c:pt idx="1">
                  <c:v>17</c:v>
                </c:pt>
                <c:pt idx="2">
                  <c:v>30</c:v>
                </c:pt>
                <c:pt idx="3">
                  <c:v>31</c:v>
                </c:pt>
                <c:pt idx="4">
                  <c:v>37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39</c:v>
                </c:pt>
                <c:pt idx="9">
                  <c:v>40</c:v>
                </c:pt>
                <c:pt idx="10">
                  <c:v>41.5</c:v>
                </c:pt>
                <c:pt idx="11">
                  <c:v>43.5</c:v>
                </c:pt>
                <c:pt idx="12">
                  <c:v>44</c:v>
                </c:pt>
                <c:pt idx="13">
                  <c:v>45.5</c:v>
                </c:pt>
                <c:pt idx="14">
                  <c:v>47</c:v>
                </c:pt>
                <c:pt idx="15">
                  <c:v>52</c:v>
                </c:pt>
                <c:pt idx="16">
                  <c:v>52</c:v>
                </c:pt>
                <c:pt idx="17">
                  <c:v>58</c:v>
                </c:pt>
                <c:pt idx="18">
                  <c:v>69</c:v>
                </c:pt>
                <c:pt idx="19">
                  <c:v>73.5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54-4105-B7BE-E6624016014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053493408"/>
        <c:axId val="2053494656"/>
      </c:barChart>
      <c:catAx>
        <c:axId val="20534934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494656"/>
        <c:crosses val="autoZero"/>
        <c:auto val="1"/>
        <c:lblAlgn val="ctr"/>
        <c:lblOffset val="100"/>
        <c:noMultiLvlLbl val="0"/>
      </c:catAx>
      <c:valAx>
        <c:axId val="205349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49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yroll!A1"/><Relationship Id="rId2" Type="http://schemas.openxmlformats.org/officeDocument/2006/relationships/hyperlink" Target="#RP_All!A1"/><Relationship Id="rId1" Type="http://schemas.openxmlformats.org/officeDocument/2006/relationships/hyperlink" Target="#'T1'!A1"/><Relationship Id="rId6" Type="http://schemas.openxmlformats.org/officeDocument/2006/relationships/hyperlink" Target="#Calendar!A1"/><Relationship Id="rId5" Type="http://schemas.openxmlformats.org/officeDocument/2006/relationships/hyperlink" Target="#Setup!A1"/><Relationship Id="rId4" Type="http://schemas.openxmlformats.org/officeDocument/2006/relationships/hyperlink" Target="#DSNV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Setup!A1"/><Relationship Id="rId3" Type="http://schemas.openxmlformats.org/officeDocument/2006/relationships/hyperlink" Target="#Home!A1"/><Relationship Id="rId7" Type="http://schemas.openxmlformats.org/officeDocument/2006/relationships/hyperlink" Target="#DSNV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Payroll!A1"/><Relationship Id="rId5" Type="http://schemas.openxmlformats.org/officeDocument/2006/relationships/hyperlink" Target="#RP_All!A1"/><Relationship Id="rId4" Type="http://schemas.openxmlformats.org/officeDocument/2006/relationships/hyperlink" Target="#'T1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Setup!A1"/><Relationship Id="rId3" Type="http://schemas.openxmlformats.org/officeDocument/2006/relationships/hyperlink" Target="#Home!A1"/><Relationship Id="rId7" Type="http://schemas.openxmlformats.org/officeDocument/2006/relationships/hyperlink" Target="#DSNV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Payroll!A1"/><Relationship Id="rId5" Type="http://schemas.openxmlformats.org/officeDocument/2006/relationships/hyperlink" Target="#RP_All!A1"/><Relationship Id="rId4" Type="http://schemas.openxmlformats.org/officeDocument/2006/relationships/hyperlink" Target="#'T1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Setup!A1"/><Relationship Id="rId13" Type="http://schemas.openxmlformats.org/officeDocument/2006/relationships/hyperlink" Target="#'T5'!A1"/><Relationship Id="rId18" Type="http://schemas.openxmlformats.org/officeDocument/2006/relationships/hyperlink" Target="#'T8'!A1"/><Relationship Id="rId3" Type="http://schemas.openxmlformats.org/officeDocument/2006/relationships/hyperlink" Target="#Home!A1"/><Relationship Id="rId7" Type="http://schemas.openxmlformats.org/officeDocument/2006/relationships/hyperlink" Target="#DSNV!A1"/><Relationship Id="rId12" Type="http://schemas.openxmlformats.org/officeDocument/2006/relationships/hyperlink" Target="#'T2'!A1"/><Relationship Id="rId17" Type="http://schemas.openxmlformats.org/officeDocument/2006/relationships/hyperlink" Target="#'T7'!A1"/><Relationship Id="rId2" Type="http://schemas.openxmlformats.org/officeDocument/2006/relationships/image" Target="../media/image2.png"/><Relationship Id="rId16" Type="http://schemas.openxmlformats.org/officeDocument/2006/relationships/hyperlink" Target="#'T6'!A1"/><Relationship Id="rId1" Type="http://schemas.openxmlformats.org/officeDocument/2006/relationships/image" Target="../media/image1.png"/><Relationship Id="rId6" Type="http://schemas.openxmlformats.org/officeDocument/2006/relationships/hyperlink" Target="#Payroll!A1"/><Relationship Id="rId11" Type="http://schemas.openxmlformats.org/officeDocument/2006/relationships/hyperlink" Target="#'T12'!A1"/><Relationship Id="rId5" Type="http://schemas.openxmlformats.org/officeDocument/2006/relationships/hyperlink" Target="#RP_All!A1"/><Relationship Id="rId15" Type="http://schemas.openxmlformats.org/officeDocument/2006/relationships/hyperlink" Target="#'T10'!A1"/><Relationship Id="rId10" Type="http://schemas.openxmlformats.org/officeDocument/2006/relationships/hyperlink" Target="#'T4'!A1"/><Relationship Id="rId19" Type="http://schemas.openxmlformats.org/officeDocument/2006/relationships/hyperlink" Target="#'T9'!A1"/><Relationship Id="rId4" Type="http://schemas.openxmlformats.org/officeDocument/2006/relationships/hyperlink" Target="#'T1'!A1"/><Relationship Id="rId9" Type="http://schemas.openxmlformats.org/officeDocument/2006/relationships/hyperlink" Target="#'T3'!A1"/><Relationship Id="rId14" Type="http://schemas.openxmlformats.org/officeDocument/2006/relationships/hyperlink" Target="#'T11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Setup!A1"/><Relationship Id="rId13" Type="http://schemas.openxmlformats.org/officeDocument/2006/relationships/hyperlink" Target="#'T5'!A1"/><Relationship Id="rId18" Type="http://schemas.openxmlformats.org/officeDocument/2006/relationships/hyperlink" Target="#'T8'!A1"/><Relationship Id="rId3" Type="http://schemas.openxmlformats.org/officeDocument/2006/relationships/hyperlink" Target="#Home!A1"/><Relationship Id="rId7" Type="http://schemas.openxmlformats.org/officeDocument/2006/relationships/hyperlink" Target="#DSNV!A1"/><Relationship Id="rId12" Type="http://schemas.openxmlformats.org/officeDocument/2006/relationships/hyperlink" Target="#'T2'!A1"/><Relationship Id="rId17" Type="http://schemas.openxmlformats.org/officeDocument/2006/relationships/hyperlink" Target="#'T7'!A1"/><Relationship Id="rId2" Type="http://schemas.openxmlformats.org/officeDocument/2006/relationships/image" Target="../media/image2.png"/><Relationship Id="rId16" Type="http://schemas.openxmlformats.org/officeDocument/2006/relationships/hyperlink" Target="#'T6'!A1"/><Relationship Id="rId1" Type="http://schemas.openxmlformats.org/officeDocument/2006/relationships/image" Target="../media/image1.png"/><Relationship Id="rId6" Type="http://schemas.openxmlformats.org/officeDocument/2006/relationships/hyperlink" Target="#Payroll!A1"/><Relationship Id="rId11" Type="http://schemas.openxmlformats.org/officeDocument/2006/relationships/hyperlink" Target="#'T12'!A1"/><Relationship Id="rId5" Type="http://schemas.openxmlformats.org/officeDocument/2006/relationships/hyperlink" Target="#RP_All!A1"/><Relationship Id="rId15" Type="http://schemas.openxmlformats.org/officeDocument/2006/relationships/hyperlink" Target="#'T10'!A1"/><Relationship Id="rId10" Type="http://schemas.openxmlformats.org/officeDocument/2006/relationships/hyperlink" Target="#'T4'!A1"/><Relationship Id="rId19" Type="http://schemas.openxmlformats.org/officeDocument/2006/relationships/hyperlink" Target="#'T9'!A1"/><Relationship Id="rId4" Type="http://schemas.openxmlformats.org/officeDocument/2006/relationships/hyperlink" Target="#'T1'!A1"/><Relationship Id="rId9" Type="http://schemas.openxmlformats.org/officeDocument/2006/relationships/hyperlink" Target="#'T3'!A1"/><Relationship Id="rId14" Type="http://schemas.openxmlformats.org/officeDocument/2006/relationships/hyperlink" Target="#'T11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Setup!A1"/><Relationship Id="rId13" Type="http://schemas.openxmlformats.org/officeDocument/2006/relationships/hyperlink" Target="#'T5'!A1"/><Relationship Id="rId18" Type="http://schemas.openxmlformats.org/officeDocument/2006/relationships/hyperlink" Target="#'T8'!A1"/><Relationship Id="rId3" Type="http://schemas.openxmlformats.org/officeDocument/2006/relationships/hyperlink" Target="#Home!A1"/><Relationship Id="rId7" Type="http://schemas.openxmlformats.org/officeDocument/2006/relationships/hyperlink" Target="#DSNV!A1"/><Relationship Id="rId12" Type="http://schemas.openxmlformats.org/officeDocument/2006/relationships/hyperlink" Target="#'T2'!A1"/><Relationship Id="rId17" Type="http://schemas.openxmlformats.org/officeDocument/2006/relationships/hyperlink" Target="#'T7'!A1"/><Relationship Id="rId2" Type="http://schemas.openxmlformats.org/officeDocument/2006/relationships/image" Target="../media/image2.png"/><Relationship Id="rId16" Type="http://schemas.openxmlformats.org/officeDocument/2006/relationships/hyperlink" Target="#'T6'!A1"/><Relationship Id="rId1" Type="http://schemas.openxmlformats.org/officeDocument/2006/relationships/image" Target="../media/image1.png"/><Relationship Id="rId6" Type="http://schemas.openxmlformats.org/officeDocument/2006/relationships/hyperlink" Target="#Payroll!A1"/><Relationship Id="rId11" Type="http://schemas.openxmlformats.org/officeDocument/2006/relationships/hyperlink" Target="#'T12'!A1"/><Relationship Id="rId5" Type="http://schemas.openxmlformats.org/officeDocument/2006/relationships/hyperlink" Target="#RP_All!A1"/><Relationship Id="rId15" Type="http://schemas.openxmlformats.org/officeDocument/2006/relationships/hyperlink" Target="#'T10'!A1"/><Relationship Id="rId10" Type="http://schemas.openxmlformats.org/officeDocument/2006/relationships/hyperlink" Target="#'T4'!A1"/><Relationship Id="rId19" Type="http://schemas.openxmlformats.org/officeDocument/2006/relationships/hyperlink" Target="#'T9'!A1"/><Relationship Id="rId4" Type="http://schemas.openxmlformats.org/officeDocument/2006/relationships/hyperlink" Target="#'T1'!A1"/><Relationship Id="rId9" Type="http://schemas.openxmlformats.org/officeDocument/2006/relationships/hyperlink" Target="#'T3'!A1"/><Relationship Id="rId14" Type="http://schemas.openxmlformats.org/officeDocument/2006/relationships/hyperlink" Target="#'T11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Setup!A1"/><Relationship Id="rId13" Type="http://schemas.openxmlformats.org/officeDocument/2006/relationships/hyperlink" Target="#'T5'!A1"/><Relationship Id="rId18" Type="http://schemas.openxmlformats.org/officeDocument/2006/relationships/hyperlink" Target="#'T8'!A1"/><Relationship Id="rId3" Type="http://schemas.openxmlformats.org/officeDocument/2006/relationships/hyperlink" Target="#Home!A1"/><Relationship Id="rId7" Type="http://schemas.openxmlformats.org/officeDocument/2006/relationships/hyperlink" Target="#DSNV!A1"/><Relationship Id="rId12" Type="http://schemas.openxmlformats.org/officeDocument/2006/relationships/hyperlink" Target="#'T2'!A1"/><Relationship Id="rId17" Type="http://schemas.openxmlformats.org/officeDocument/2006/relationships/hyperlink" Target="#'T7'!A1"/><Relationship Id="rId2" Type="http://schemas.openxmlformats.org/officeDocument/2006/relationships/image" Target="../media/image2.png"/><Relationship Id="rId16" Type="http://schemas.openxmlformats.org/officeDocument/2006/relationships/hyperlink" Target="#'T6'!A1"/><Relationship Id="rId1" Type="http://schemas.openxmlformats.org/officeDocument/2006/relationships/image" Target="../media/image1.png"/><Relationship Id="rId6" Type="http://schemas.openxmlformats.org/officeDocument/2006/relationships/hyperlink" Target="#Payroll!A1"/><Relationship Id="rId11" Type="http://schemas.openxmlformats.org/officeDocument/2006/relationships/hyperlink" Target="#'T12'!A1"/><Relationship Id="rId5" Type="http://schemas.openxmlformats.org/officeDocument/2006/relationships/hyperlink" Target="#RP_All!A1"/><Relationship Id="rId15" Type="http://schemas.openxmlformats.org/officeDocument/2006/relationships/hyperlink" Target="#'T10'!A1"/><Relationship Id="rId10" Type="http://schemas.openxmlformats.org/officeDocument/2006/relationships/hyperlink" Target="#'T4'!A1"/><Relationship Id="rId19" Type="http://schemas.openxmlformats.org/officeDocument/2006/relationships/hyperlink" Target="#'T9'!A1"/><Relationship Id="rId4" Type="http://schemas.openxmlformats.org/officeDocument/2006/relationships/hyperlink" Target="#'T1'!A1"/><Relationship Id="rId9" Type="http://schemas.openxmlformats.org/officeDocument/2006/relationships/hyperlink" Target="#'T3'!A1"/><Relationship Id="rId14" Type="http://schemas.openxmlformats.org/officeDocument/2006/relationships/hyperlink" Target="#'T11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Setup!A1"/><Relationship Id="rId13" Type="http://schemas.openxmlformats.org/officeDocument/2006/relationships/hyperlink" Target="#'T5'!A1"/><Relationship Id="rId18" Type="http://schemas.openxmlformats.org/officeDocument/2006/relationships/hyperlink" Target="#'T8'!A1"/><Relationship Id="rId3" Type="http://schemas.openxmlformats.org/officeDocument/2006/relationships/hyperlink" Target="#Home!A1"/><Relationship Id="rId7" Type="http://schemas.openxmlformats.org/officeDocument/2006/relationships/hyperlink" Target="#DSNV!A1"/><Relationship Id="rId12" Type="http://schemas.openxmlformats.org/officeDocument/2006/relationships/hyperlink" Target="#'T2'!A1"/><Relationship Id="rId17" Type="http://schemas.openxmlformats.org/officeDocument/2006/relationships/hyperlink" Target="#'T7'!A1"/><Relationship Id="rId2" Type="http://schemas.openxmlformats.org/officeDocument/2006/relationships/image" Target="../media/image2.png"/><Relationship Id="rId16" Type="http://schemas.openxmlformats.org/officeDocument/2006/relationships/hyperlink" Target="#'T6'!A1"/><Relationship Id="rId1" Type="http://schemas.openxmlformats.org/officeDocument/2006/relationships/image" Target="../media/image1.png"/><Relationship Id="rId6" Type="http://schemas.openxmlformats.org/officeDocument/2006/relationships/hyperlink" Target="#Payroll!A1"/><Relationship Id="rId11" Type="http://schemas.openxmlformats.org/officeDocument/2006/relationships/hyperlink" Target="#'T12'!A1"/><Relationship Id="rId5" Type="http://schemas.openxmlformats.org/officeDocument/2006/relationships/hyperlink" Target="#RP_All!A1"/><Relationship Id="rId15" Type="http://schemas.openxmlformats.org/officeDocument/2006/relationships/hyperlink" Target="#'T10'!A1"/><Relationship Id="rId10" Type="http://schemas.openxmlformats.org/officeDocument/2006/relationships/hyperlink" Target="#'T4'!A1"/><Relationship Id="rId19" Type="http://schemas.openxmlformats.org/officeDocument/2006/relationships/hyperlink" Target="#'T9'!A1"/><Relationship Id="rId4" Type="http://schemas.openxmlformats.org/officeDocument/2006/relationships/hyperlink" Target="#'T1'!A1"/><Relationship Id="rId9" Type="http://schemas.openxmlformats.org/officeDocument/2006/relationships/hyperlink" Target="#'T3'!A1"/><Relationship Id="rId14" Type="http://schemas.openxmlformats.org/officeDocument/2006/relationships/hyperlink" Target="#'T11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Setup!A1"/><Relationship Id="rId13" Type="http://schemas.openxmlformats.org/officeDocument/2006/relationships/hyperlink" Target="#'T5'!A1"/><Relationship Id="rId18" Type="http://schemas.openxmlformats.org/officeDocument/2006/relationships/hyperlink" Target="#'T8'!A1"/><Relationship Id="rId3" Type="http://schemas.openxmlformats.org/officeDocument/2006/relationships/hyperlink" Target="#Home!A1"/><Relationship Id="rId7" Type="http://schemas.openxmlformats.org/officeDocument/2006/relationships/hyperlink" Target="#DSNV!A1"/><Relationship Id="rId12" Type="http://schemas.openxmlformats.org/officeDocument/2006/relationships/hyperlink" Target="#'T2'!A1"/><Relationship Id="rId17" Type="http://schemas.openxmlformats.org/officeDocument/2006/relationships/hyperlink" Target="#'T7'!A1"/><Relationship Id="rId2" Type="http://schemas.openxmlformats.org/officeDocument/2006/relationships/image" Target="../media/image2.png"/><Relationship Id="rId16" Type="http://schemas.openxmlformats.org/officeDocument/2006/relationships/hyperlink" Target="#'T6'!A1"/><Relationship Id="rId1" Type="http://schemas.openxmlformats.org/officeDocument/2006/relationships/image" Target="../media/image1.png"/><Relationship Id="rId6" Type="http://schemas.openxmlformats.org/officeDocument/2006/relationships/hyperlink" Target="#Payroll!A1"/><Relationship Id="rId11" Type="http://schemas.openxmlformats.org/officeDocument/2006/relationships/hyperlink" Target="#'T12'!A1"/><Relationship Id="rId5" Type="http://schemas.openxmlformats.org/officeDocument/2006/relationships/hyperlink" Target="#RP_All!A1"/><Relationship Id="rId15" Type="http://schemas.openxmlformats.org/officeDocument/2006/relationships/hyperlink" Target="#'T10'!A1"/><Relationship Id="rId10" Type="http://schemas.openxmlformats.org/officeDocument/2006/relationships/hyperlink" Target="#'T4'!A1"/><Relationship Id="rId19" Type="http://schemas.openxmlformats.org/officeDocument/2006/relationships/hyperlink" Target="#'T9'!A1"/><Relationship Id="rId4" Type="http://schemas.openxmlformats.org/officeDocument/2006/relationships/hyperlink" Target="#'T1'!A1"/><Relationship Id="rId9" Type="http://schemas.openxmlformats.org/officeDocument/2006/relationships/hyperlink" Target="#'T3'!A1"/><Relationship Id="rId14" Type="http://schemas.openxmlformats.org/officeDocument/2006/relationships/hyperlink" Target="#'T11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Setup!A1"/><Relationship Id="rId13" Type="http://schemas.openxmlformats.org/officeDocument/2006/relationships/hyperlink" Target="#'T5'!A1"/><Relationship Id="rId18" Type="http://schemas.openxmlformats.org/officeDocument/2006/relationships/hyperlink" Target="#'T8'!A1"/><Relationship Id="rId3" Type="http://schemas.openxmlformats.org/officeDocument/2006/relationships/hyperlink" Target="#Home!A1"/><Relationship Id="rId7" Type="http://schemas.openxmlformats.org/officeDocument/2006/relationships/hyperlink" Target="#DSNV!A1"/><Relationship Id="rId12" Type="http://schemas.openxmlformats.org/officeDocument/2006/relationships/hyperlink" Target="#'T2'!A1"/><Relationship Id="rId17" Type="http://schemas.openxmlformats.org/officeDocument/2006/relationships/hyperlink" Target="#'T7'!A1"/><Relationship Id="rId2" Type="http://schemas.openxmlformats.org/officeDocument/2006/relationships/image" Target="../media/image2.png"/><Relationship Id="rId16" Type="http://schemas.openxmlformats.org/officeDocument/2006/relationships/hyperlink" Target="#'T6'!A1"/><Relationship Id="rId1" Type="http://schemas.openxmlformats.org/officeDocument/2006/relationships/image" Target="../media/image1.png"/><Relationship Id="rId6" Type="http://schemas.openxmlformats.org/officeDocument/2006/relationships/hyperlink" Target="#Payroll!A1"/><Relationship Id="rId11" Type="http://schemas.openxmlformats.org/officeDocument/2006/relationships/hyperlink" Target="#'T12'!A1"/><Relationship Id="rId5" Type="http://schemas.openxmlformats.org/officeDocument/2006/relationships/hyperlink" Target="#RP_All!A1"/><Relationship Id="rId15" Type="http://schemas.openxmlformats.org/officeDocument/2006/relationships/hyperlink" Target="#'T10'!A1"/><Relationship Id="rId10" Type="http://schemas.openxmlformats.org/officeDocument/2006/relationships/hyperlink" Target="#'T4'!A1"/><Relationship Id="rId19" Type="http://schemas.openxmlformats.org/officeDocument/2006/relationships/hyperlink" Target="#'T9'!A1"/><Relationship Id="rId4" Type="http://schemas.openxmlformats.org/officeDocument/2006/relationships/hyperlink" Target="#'T1'!A1"/><Relationship Id="rId9" Type="http://schemas.openxmlformats.org/officeDocument/2006/relationships/hyperlink" Target="#'T3'!A1"/><Relationship Id="rId14" Type="http://schemas.openxmlformats.org/officeDocument/2006/relationships/hyperlink" Target="#'T11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Setup!A1"/><Relationship Id="rId13" Type="http://schemas.openxmlformats.org/officeDocument/2006/relationships/hyperlink" Target="#'T5'!A1"/><Relationship Id="rId18" Type="http://schemas.openxmlformats.org/officeDocument/2006/relationships/hyperlink" Target="#'T8'!A1"/><Relationship Id="rId3" Type="http://schemas.openxmlformats.org/officeDocument/2006/relationships/hyperlink" Target="#Home!A1"/><Relationship Id="rId7" Type="http://schemas.openxmlformats.org/officeDocument/2006/relationships/hyperlink" Target="#DSNV!A1"/><Relationship Id="rId12" Type="http://schemas.openxmlformats.org/officeDocument/2006/relationships/hyperlink" Target="#'T2'!A1"/><Relationship Id="rId17" Type="http://schemas.openxmlformats.org/officeDocument/2006/relationships/hyperlink" Target="#'T7'!A1"/><Relationship Id="rId2" Type="http://schemas.openxmlformats.org/officeDocument/2006/relationships/image" Target="../media/image2.png"/><Relationship Id="rId16" Type="http://schemas.openxmlformats.org/officeDocument/2006/relationships/hyperlink" Target="#'T6'!A1"/><Relationship Id="rId1" Type="http://schemas.openxmlformats.org/officeDocument/2006/relationships/image" Target="../media/image1.png"/><Relationship Id="rId6" Type="http://schemas.openxmlformats.org/officeDocument/2006/relationships/hyperlink" Target="#Payroll!A1"/><Relationship Id="rId11" Type="http://schemas.openxmlformats.org/officeDocument/2006/relationships/hyperlink" Target="#'T12'!A1"/><Relationship Id="rId5" Type="http://schemas.openxmlformats.org/officeDocument/2006/relationships/hyperlink" Target="#RP_All!A1"/><Relationship Id="rId15" Type="http://schemas.openxmlformats.org/officeDocument/2006/relationships/hyperlink" Target="#'T10'!A1"/><Relationship Id="rId10" Type="http://schemas.openxmlformats.org/officeDocument/2006/relationships/hyperlink" Target="#'T4'!A1"/><Relationship Id="rId19" Type="http://schemas.openxmlformats.org/officeDocument/2006/relationships/hyperlink" Target="#'T9'!A1"/><Relationship Id="rId4" Type="http://schemas.openxmlformats.org/officeDocument/2006/relationships/hyperlink" Target="#'T1'!A1"/><Relationship Id="rId9" Type="http://schemas.openxmlformats.org/officeDocument/2006/relationships/hyperlink" Target="#'T3'!A1"/><Relationship Id="rId14" Type="http://schemas.openxmlformats.org/officeDocument/2006/relationships/hyperlink" Target="#'T11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Setup!A1"/><Relationship Id="rId13" Type="http://schemas.openxmlformats.org/officeDocument/2006/relationships/hyperlink" Target="#'T5'!A1"/><Relationship Id="rId18" Type="http://schemas.openxmlformats.org/officeDocument/2006/relationships/hyperlink" Target="#'T8'!A1"/><Relationship Id="rId3" Type="http://schemas.openxmlformats.org/officeDocument/2006/relationships/hyperlink" Target="#Home!A1"/><Relationship Id="rId7" Type="http://schemas.openxmlformats.org/officeDocument/2006/relationships/hyperlink" Target="#DSNV!A1"/><Relationship Id="rId12" Type="http://schemas.openxmlformats.org/officeDocument/2006/relationships/hyperlink" Target="#'T2'!A1"/><Relationship Id="rId17" Type="http://schemas.openxmlformats.org/officeDocument/2006/relationships/hyperlink" Target="#'T7'!A1"/><Relationship Id="rId2" Type="http://schemas.openxmlformats.org/officeDocument/2006/relationships/image" Target="../media/image2.png"/><Relationship Id="rId16" Type="http://schemas.openxmlformats.org/officeDocument/2006/relationships/hyperlink" Target="#'T6'!A1"/><Relationship Id="rId1" Type="http://schemas.openxmlformats.org/officeDocument/2006/relationships/image" Target="../media/image1.png"/><Relationship Id="rId6" Type="http://schemas.openxmlformats.org/officeDocument/2006/relationships/hyperlink" Target="#Payroll!A1"/><Relationship Id="rId11" Type="http://schemas.openxmlformats.org/officeDocument/2006/relationships/hyperlink" Target="#'T12'!A1"/><Relationship Id="rId5" Type="http://schemas.openxmlformats.org/officeDocument/2006/relationships/hyperlink" Target="#RP_All!A1"/><Relationship Id="rId15" Type="http://schemas.openxmlformats.org/officeDocument/2006/relationships/hyperlink" Target="#'T10'!A1"/><Relationship Id="rId10" Type="http://schemas.openxmlformats.org/officeDocument/2006/relationships/hyperlink" Target="#'T4'!A1"/><Relationship Id="rId19" Type="http://schemas.openxmlformats.org/officeDocument/2006/relationships/hyperlink" Target="#'T9'!A1"/><Relationship Id="rId4" Type="http://schemas.openxmlformats.org/officeDocument/2006/relationships/hyperlink" Target="#'T1'!A1"/><Relationship Id="rId9" Type="http://schemas.openxmlformats.org/officeDocument/2006/relationships/hyperlink" Target="#'T3'!A1"/><Relationship Id="rId14" Type="http://schemas.openxmlformats.org/officeDocument/2006/relationships/hyperlink" Target="#'T11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Setup!A1"/><Relationship Id="rId13" Type="http://schemas.openxmlformats.org/officeDocument/2006/relationships/hyperlink" Target="#'T5'!A1"/><Relationship Id="rId18" Type="http://schemas.openxmlformats.org/officeDocument/2006/relationships/hyperlink" Target="#'T8'!A1"/><Relationship Id="rId3" Type="http://schemas.openxmlformats.org/officeDocument/2006/relationships/hyperlink" Target="#Home!A1"/><Relationship Id="rId7" Type="http://schemas.openxmlformats.org/officeDocument/2006/relationships/hyperlink" Target="#DSNV!A1"/><Relationship Id="rId12" Type="http://schemas.openxmlformats.org/officeDocument/2006/relationships/hyperlink" Target="#'T2'!A1"/><Relationship Id="rId17" Type="http://schemas.openxmlformats.org/officeDocument/2006/relationships/hyperlink" Target="#'T7'!A1"/><Relationship Id="rId2" Type="http://schemas.openxmlformats.org/officeDocument/2006/relationships/image" Target="../media/image2.png"/><Relationship Id="rId16" Type="http://schemas.openxmlformats.org/officeDocument/2006/relationships/hyperlink" Target="#'T6'!A1"/><Relationship Id="rId1" Type="http://schemas.openxmlformats.org/officeDocument/2006/relationships/image" Target="../media/image1.png"/><Relationship Id="rId6" Type="http://schemas.openxmlformats.org/officeDocument/2006/relationships/hyperlink" Target="#Payroll!A1"/><Relationship Id="rId11" Type="http://schemas.openxmlformats.org/officeDocument/2006/relationships/hyperlink" Target="#'T12'!A1"/><Relationship Id="rId5" Type="http://schemas.openxmlformats.org/officeDocument/2006/relationships/hyperlink" Target="#RP_All!A1"/><Relationship Id="rId15" Type="http://schemas.openxmlformats.org/officeDocument/2006/relationships/hyperlink" Target="#'T10'!A1"/><Relationship Id="rId10" Type="http://schemas.openxmlformats.org/officeDocument/2006/relationships/hyperlink" Target="#'T4'!A1"/><Relationship Id="rId19" Type="http://schemas.openxmlformats.org/officeDocument/2006/relationships/hyperlink" Target="#'T9'!A1"/><Relationship Id="rId4" Type="http://schemas.openxmlformats.org/officeDocument/2006/relationships/hyperlink" Target="#'T1'!A1"/><Relationship Id="rId9" Type="http://schemas.openxmlformats.org/officeDocument/2006/relationships/hyperlink" Target="#'T3'!A1"/><Relationship Id="rId14" Type="http://schemas.openxmlformats.org/officeDocument/2006/relationships/hyperlink" Target="#'T11'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Setup!A1"/><Relationship Id="rId13" Type="http://schemas.openxmlformats.org/officeDocument/2006/relationships/hyperlink" Target="#'T5'!A1"/><Relationship Id="rId18" Type="http://schemas.openxmlformats.org/officeDocument/2006/relationships/hyperlink" Target="#'T8'!A1"/><Relationship Id="rId3" Type="http://schemas.openxmlformats.org/officeDocument/2006/relationships/hyperlink" Target="#Home!A1"/><Relationship Id="rId7" Type="http://schemas.openxmlformats.org/officeDocument/2006/relationships/hyperlink" Target="#DSNV!A1"/><Relationship Id="rId12" Type="http://schemas.openxmlformats.org/officeDocument/2006/relationships/hyperlink" Target="#'T2'!A1"/><Relationship Id="rId17" Type="http://schemas.openxmlformats.org/officeDocument/2006/relationships/hyperlink" Target="#'T7'!A1"/><Relationship Id="rId2" Type="http://schemas.openxmlformats.org/officeDocument/2006/relationships/image" Target="../media/image2.png"/><Relationship Id="rId16" Type="http://schemas.openxmlformats.org/officeDocument/2006/relationships/hyperlink" Target="#'T6'!A1"/><Relationship Id="rId1" Type="http://schemas.openxmlformats.org/officeDocument/2006/relationships/image" Target="../media/image1.png"/><Relationship Id="rId6" Type="http://schemas.openxmlformats.org/officeDocument/2006/relationships/hyperlink" Target="#Payroll!A1"/><Relationship Id="rId11" Type="http://schemas.openxmlformats.org/officeDocument/2006/relationships/hyperlink" Target="#'T12'!A1"/><Relationship Id="rId5" Type="http://schemas.openxmlformats.org/officeDocument/2006/relationships/hyperlink" Target="#RP_All!A1"/><Relationship Id="rId15" Type="http://schemas.openxmlformats.org/officeDocument/2006/relationships/hyperlink" Target="#'T10'!A1"/><Relationship Id="rId10" Type="http://schemas.openxmlformats.org/officeDocument/2006/relationships/hyperlink" Target="#'T4'!A1"/><Relationship Id="rId19" Type="http://schemas.openxmlformats.org/officeDocument/2006/relationships/hyperlink" Target="#'T9'!A1"/><Relationship Id="rId4" Type="http://schemas.openxmlformats.org/officeDocument/2006/relationships/hyperlink" Target="#'T1'!A1"/><Relationship Id="rId9" Type="http://schemas.openxmlformats.org/officeDocument/2006/relationships/hyperlink" Target="#'T3'!A1"/><Relationship Id="rId14" Type="http://schemas.openxmlformats.org/officeDocument/2006/relationships/hyperlink" Target="#'T11'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Setup!A1"/><Relationship Id="rId13" Type="http://schemas.openxmlformats.org/officeDocument/2006/relationships/hyperlink" Target="#'T5'!A1"/><Relationship Id="rId18" Type="http://schemas.openxmlformats.org/officeDocument/2006/relationships/hyperlink" Target="#'T8'!A1"/><Relationship Id="rId3" Type="http://schemas.openxmlformats.org/officeDocument/2006/relationships/hyperlink" Target="#Home!A1"/><Relationship Id="rId7" Type="http://schemas.openxmlformats.org/officeDocument/2006/relationships/hyperlink" Target="#DSNV!A1"/><Relationship Id="rId12" Type="http://schemas.openxmlformats.org/officeDocument/2006/relationships/hyperlink" Target="#'T2'!A1"/><Relationship Id="rId17" Type="http://schemas.openxmlformats.org/officeDocument/2006/relationships/hyperlink" Target="#'T7'!A1"/><Relationship Id="rId2" Type="http://schemas.openxmlformats.org/officeDocument/2006/relationships/image" Target="../media/image2.png"/><Relationship Id="rId16" Type="http://schemas.openxmlformats.org/officeDocument/2006/relationships/hyperlink" Target="#'T6'!A1"/><Relationship Id="rId1" Type="http://schemas.openxmlformats.org/officeDocument/2006/relationships/image" Target="../media/image1.png"/><Relationship Id="rId6" Type="http://schemas.openxmlformats.org/officeDocument/2006/relationships/hyperlink" Target="#Payroll!A1"/><Relationship Id="rId11" Type="http://schemas.openxmlformats.org/officeDocument/2006/relationships/hyperlink" Target="#'T12'!A1"/><Relationship Id="rId5" Type="http://schemas.openxmlformats.org/officeDocument/2006/relationships/hyperlink" Target="#RP_All!A1"/><Relationship Id="rId15" Type="http://schemas.openxmlformats.org/officeDocument/2006/relationships/hyperlink" Target="#'T10'!A1"/><Relationship Id="rId10" Type="http://schemas.openxmlformats.org/officeDocument/2006/relationships/hyperlink" Target="#'T4'!A1"/><Relationship Id="rId19" Type="http://schemas.openxmlformats.org/officeDocument/2006/relationships/hyperlink" Target="#'T9'!A1"/><Relationship Id="rId4" Type="http://schemas.openxmlformats.org/officeDocument/2006/relationships/hyperlink" Target="#'T1'!A1"/><Relationship Id="rId9" Type="http://schemas.openxmlformats.org/officeDocument/2006/relationships/hyperlink" Target="#'T3'!A1"/><Relationship Id="rId14" Type="http://schemas.openxmlformats.org/officeDocument/2006/relationships/hyperlink" Target="#'T11'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Setup!A1"/><Relationship Id="rId3" Type="http://schemas.openxmlformats.org/officeDocument/2006/relationships/hyperlink" Target="#Home!A1"/><Relationship Id="rId7" Type="http://schemas.openxmlformats.org/officeDocument/2006/relationships/hyperlink" Target="#DSNV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Payroll!A1"/><Relationship Id="rId5" Type="http://schemas.openxmlformats.org/officeDocument/2006/relationships/hyperlink" Target="#RP_All!A1"/><Relationship Id="rId4" Type="http://schemas.openxmlformats.org/officeDocument/2006/relationships/hyperlink" Target="#'T1'!A1"/><Relationship Id="rId9" Type="http://schemas.openxmlformats.org/officeDocument/2006/relationships/hyperlink" Target="#RP_1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Payroll!A1"/><Relationship Id="rId3" Type="http://schemas.openxmlformats.org/officeDocument/2006/relationships/image" Target="../media/image1.png"/><Relationship Id="rId7" Type="http://schemas.openxmlformats.org/officeDocument/2006/relationships/hyperlink" Target="#RP_All!A1"/><Relationship Id="rId12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'T1'!A1"/><Relationship Id="rId11" Type="http://schemas.openxmlformats.org/officeDocument/2006/relationships/hyperlink" Target="#RP_1!A1"/><Relationship Id="rId5" Type="http://schemas.openxmlformats.org/officeDocument/2006/relationships/hyperlink" Target="#Home!A1"/><Relationship Id="rId10" Type="http://schemas.openxmlformats.org/officeDocument/2006/relationships/hyperlink" Target="#Setup!A1"/><Relationship Id="rId4" Type="http://schemas.openxmlformats.org/officeDocument/2006/relationships/image" Target="../media/image2.png"/><Relationship Id="rId9" Type="http://schemas.openxmlformats.org/officeDocument/2006/relationships/hyperlink" Target="#DSNV!A1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Setup!A1"/><Relationship Id="rId3" Type="http://schemas.openxmlformats.org/officeDocument/2006/relationships/hyperlink" Target="#Home!A1"/><Relationship Id="rId7" Type="http://schemas.openxmlformats.org/officeDocument/2006/relationships/hyperlink" Target="#DSNV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Payroll!A1"/><Relationship Id="rId5" Type="http://schemas.openxmlformats.org/officeDocument/2006/relationships/hyperlink" Target="#RP_All!A1"/><Relationship Id="rId4" Type="http://schemas.openxmlformats.org/officeDocument/2006/relationships/hyperlink" Target="#'T1'!A1"/><Relationship Id="rId9" Type="http://schemas.openxmlformats.org/officeDocument/2006/relationships/hyperlink" Target="#Paycheck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Setup!A1"/><Relationship Id="rId3" Type="http://schemas.openxmlformats.org/officeDocument/2006/relationships/hyperlink" Target="#Home!A1"/><Relationship Id="rId7" Type="http://schemas.openxmlformats.org/officeDocument/2006/relationships/hyperlink" Target="#DSNV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Payroll!A1"/><Relationship Id="rId5" Type="http://schemas.openxmlformats.org/officeDocument/2006/relationships/hyperlink" Target="#RP_All!A1"/><Relationship Id="rId4" Type="http://schemas.openxmlformats.org/officeDocument/2006/relationships/hyperlink" Target="#'T1'!A1"/><Relationship Id="rId9" Type="http://schemas.openxmlformats.org/officeDocument/2006/relationships/hyperlink" Target="#Paycheck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5</xdr:row>
      <xdr:rowOff>15240</xdr:rowOff>
    </xdr:from>
    <xdr:to>
      <xdr:col>3</xdr:col>
      <xdr:colOff>586740</xdr:colOff>
      <xdr:row>7</xdr:row>
      <xdr:rowOff>68580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46C256-2DFC-4F6C-802A-19963BDCCE58}"/>
            </a:ext>
          </a:extLst>
        </xdr:cNvPr>
        <xdr:cNvSpPr/>
      </xdr:nvSpPr>
      <xdr:spPr>
        <a:xfrm>
          <a:off x="609600" y="899160"/>
          <a:ext cx="1805940" cy="403860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CHẤM</a:t>
          </a:r>
          <a:r>
            <a:rPr lang="en-US" sz="1400" b="1" baseline="0"/>
            <a:t> CÔNG</a:t>
          </a:r>
          <a:endParaRPr lang="vi-VN" sz="1400" b="1"/>
        </a:p>
      </xdr:txBody>
    </xdr:sp>
    <xdr:clientData/>
  </xdr:twoCellAnchor>
  <xdr:twoCellAnchor editAs="absolute">
    <xdr:from>
      <xdr:col>1</xdr:col>
      <xdr:colOff>0</xdr:colOff>
      <xdr:row>8</xdr:row>
      <xdr:rowOff>48768</xdr:rowOff>
    </xdr:from>
    <xdr:to>
      <xdr:col>3</xdr:col>
      <xdr:colOff>586740</xdr:colOff>
      <xdr:row>10</xdr:row>
      <xdr:rowOff>102108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C2862C2-27DC-4192-BC4C-548D193C7899}"/>
            </a:ext>
          </a:extLst>
        </xdr:cNvPr>
        <xdr:cNvSpPr/>
      </xdr:nvSpPr>
      <xdr:spPr>
        <a:xfrm>
          <a:off x="609600" y="1458468"/>
          <a:ext cx="1805940" cy="403860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BÁO</a:t>
          </a:r>
          <a:r>
            <a:rPr lang="en-US" sz="1400" b="1" baseline="0"/>
            <a:t> CÁO</a:t>
          </a:r>
          <a:endParaRPr lang="vi-VN" sz="1400" b="1"/>
        </a:p>
      </xdr:txBody>
    </xdr:sp>
    <xdr:clientData/>
  </xdr:twoCellAnchor>
  <xdr:twoCellAnchor editAs="absolute">
    <xdr:from>
      <xdr:col>1</xdr:col>
      <xdr:colOff>0</xdr:colOff>
      <xdr:row>11</xdr:row>
      <xdr:rowOff>82296</xdr:rowOff>
    </xdr:from>
    <xdr:to>
      <xdr:col>3</xdr:col>
      <xdr:colOff>586740</xdr:colOff>
      <xdr:row>13</xdr:row>
      <xdr:rowOff>135636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A269543-06F3-4E85-BBDB-49A4181EA28A}"/>
            </a:ext>
          </a:extLst>
        </xdr:cNvPr>
        <xdr:cNvSpPr/>
      </xdr:nvSpPr>
      <xdr:spPr>
        <a:xfrm>
          <a:off x="609600" y="2017776"/>
          <a:ext cx="1805940" cy="403860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BẢNG</a:t>
          </a:r>
          <a:r>
            <a:rPr lang="en-US" sz="1400" b="1" baseline="0"/>
            <a:t> LƯƠNG</a:t>
          </a:r>
          <a:endParaRPr lang="vi-VN" sz="1400" b="1"/>
        </a:p>
      </xdr:txBody>
    </xdr:sp>
    <xdr:clientData/>
  </xdr:twoCellAnchor>
  <xdr:twoCellAnchor editAs="absolute">
    <xdr:from>
      <xdr:col>1</xdr:col>
      <xdr:colOff>0</xdr:colOff>
      <xdr:row>14</xdr:row>
      <xdr:rowOff>115824</xdr:rowOff>
    </xdr:from>
    <xdr:to>
      <xdr:col>3</xdr:col>
      <xdr:colOff>586740</xdr:colOff>
      <xdr:row>16</xdr:row>
      <xdr:rowOff>169164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7BF8B8F-EC1E-4574-8EA7-F3DE29DCC07B}"/>
            </a:ext>
          </a:extLst>
        </xdr:cNvPr>
        <xdr:cNvSpPr/>
      </xdr:nvSpPr>
      <xdr:spPr>
        <a:xfrm>
          <a:off x="609600" y="2577084"/>
          <a:ext cx="1805940" cy="403860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DS NHÂN</a:t>
          </a:r>
          <a:r>
            <a:rPr lang="en-US" sz="1400" b="1" baseline="0"/>
            <a:t> VIÊN</a:t>
          </a:r>
          <a:endParaRPr lang="vi-VN" sz="1400" b="1"/>
        </a:p>
      </xdr:txBody>
    </xdr:sp>
    <xdr:clientData/>
  </xdr:twoCellAnchor>
  <xdr:twoCellAnchor editAs="absolute">
    <xdr:from>
      <xdr:col>1</xdr:col>
      <xdr:colOff>0</xdr:colOff>
      <xdr:row>17</xdr:row>
      <xdr:rowOff>149352</xdr:rowOff>
    </xdr:from>
    <xdr:to>
      <xdr:col>3</xdr:col>
      <xdr:colOff>586740</xdr:colOff>
      <xdr:row>20</xdr:row>
      <xdr:rowOff>27432</xdr:rowOff>
    </xdr:to>
    <xdr:sp macro="" textlink="">
      <xdr:nvSpPr>
        <xdr:cNvPr id="6" name="Rectangle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4137870-EEE0-41B0-9B39-09838ED2D63D}"/>
            </a:ext>
          </a:extLst>
        </xdr:cNvPr>
        <xdr:cNvSpPr/>
      </xdr:nvSpPr>
      <xdr:spPr>
        <a:xfrm>
          <a:off x="609600" y="3136392"/>
          <a:ext cx="1805940" cy="403860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CÀI</a:t>
          </a:r>
          <a:r>
            <a:rPr lang="en-US" sz="1400" b="1" baseline="0"/>
            <a:t> ĐẶT</a:t>
          </a:r>
          <a:endParaRPr lang="vi-VN" sz="1400" b="1"/>
        </a:p>
      </xdr:txBody>
    </xdr:sp>
    <xdr:clientData/>
  </xdr:twoCellAnchor>
  <xdr:twoCellAnchor editAs="absolute">
    <xdr:from>
      <xdr:col>1</xdr:col>
      <xdr:colOff>0</xdr:colOff>
      <xdr:row>21</xdr:row>
      <xdr:rowOff>7620</xdr:rowOff>
    </xdr:from>
    <xdr:to>
      <xdr:col>3</xdr:col>
      <xdr:colOff>586740</xdr:colOff>
      <xdr:row>23</xdr:row>
      <xdr:rowOff>60960</xdr:rowOff>
    </xdr:to>
    <xdr:sp macro="" textlink="">
      <xdr:nvSpPr>
        <xdr:cNvPr id="12" name="Rectangle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60AA509-E664-4E93-94FA-EFF0D037E8FD}"/>
            </a:ext>
          </a:extLst>
        </xdr:cNvPr>
        <xdr:cNvSpPr/>
      </xdr:nvSpPr>
      <xdr:spPr>
        <a:xfrm>
          <a:off x="609600" y="3695700"/>
          <a:ext cx="1805940" cy="403860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LỊCH</a:t>
          </a:r>
          <a:endParaRPr lang="vi-VN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34</xdr:col>
      <xdr:colOff>99060</xdr:colOff>
      <xdr:row>3</xdr:row>
      <xdr:rowOff>17100</xdr:rowOff>
    </xdr:to>
    <xdr:grpSp>
      <xdr:nvGrpSpPr>
        <xdr:cNvPr id="98" name="Group 97">
          <a:extLst>
            <a:ext uri="{FF2B5EF4-FFF2-40B4-BE49-F238E27FC236}">
              <a16:creationId xmlns:a16="http://schemas.microsoft.com/office/drawing/2014/main" id="{16E24F8B-F7C6-4C2B-843C-6E92B0F8E79F}"/>
            </a:ext>
          </a:extLst>
        </xdr:cNvPr>
        <xdr:cNvGrpSpPr/>
      </xdr:nvGrpSpPr>
      <xdr:grpSpPr>
        <a:xfrm>
          <a:off x="0" y="0"/>
          <a:ext cx="22258020" cy="565740"/>
          <a:chOff x="0" y="0"/>
          <a:chExt cx="22258020" cy="54288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835F6AF4-B64D-47AC-B7A6-6AA2D59AF07A}"/>
              </a:ext>
            </a:extLst>
          </xdr:cNvPr>
          <xdr:cNvGrpSpPr/>
        </xdr:nvGrpSpPr>
        <xdr:grpSpPr>
          <a:xfrm>
            <a:off x="0" y="0"/>
            <a:ext cx="22258020" cy="542880"/>
            <a:chOff x="0" y="0"/>
            <a:chExt cx="22258020" cy="542880"/>
          </a:xfrm>
        </xdr:grpSpPr>
        <xdr:sp macro="" textlink="">
          <xdr:nvSpPr>
            <xdr:cNvPr id="101" name="Rectangle 100">
              <a:extLst>
                <a:ext uri="{FF2B5EF4-FFF2-40B4-BE49-F238E27FC236}">
                  <a16:creationId xmlns:a16="http://schemas.microsoft.com/office/drawing/2014/main" id="{14875127-72C3-4FB2-A5C7-C6BE4235A58B}"/>
                </a:ext>
              </a:extLst>
            </xdr:cNvPr>
            <xdr:cNvSpPr/>
          </xdr:nvSpPr>
          <xdr:spPr>
            <a:xfrm>
              <a:off x="0" y="182880"/>
              <a:ext cx="22258020" cy="3600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sp macro="" textlink="">
          <xdr:nvSpPr>
            <xdr:cNvPr id="102" name="Rectangle 101">
              <a:extLst>
                <a:ext uri="{FF2B5EF4-FFF2-40B4-BE49-F238E27FC236}">
                  <a16:creationId xmlns:a16="http://schemas.microsoft.com/office/drawing/2014/main" id="{789C5BE9-962F-42F4-B500-4FBED821E2C5}"/>
                </a:ext>
              </a:extLst>
            </xdr:cNvPr>
            <xdr:cNvSpPr/>
          </xdr:nvSpPr>
          <xdr:spPr>
            <a:xfrm>
              <a:off x="0" y="0"/>
              <a:ext cx="22258020" cy="360000"/>
            </a:xfrm>
            <a:prstGeom prst="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pic>
          <xdr:nvPicPr>
            <xdr:cNvPr id="103" name="Picture 102">
              <a:extLst>
                <a:ext uri="{FF2B5EF4-FFF2-40B4-BE49-F238E27FC236}">
                  <a16:creationId xmlns:a16="http://schemas.microsoft.com/office/drawing/2014/main" id="{EBF679B4-E3BD-40E2-AB35-229106ED7A3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41021" y="18000"/>
              <a:ext cx="324000" cy="324000"/>
            </a:xfrm>
            <a:prstGeom prst="rect">
              <a:avLst/>
            </a:prstGeom>
          </xdr:spPr>
        </xdr:pic>
        <xdr:pic>
          <xdr:nvPicPr>
            <xdr:cNvPr id="104" name="Picture 103">
              <a:extLst>
                <a:ext uri="{FF2B5EF4-FFF2-40B4-BE49-F238E27FC236}">
                  <a16:creationId xmlns:a16="http://schemas.microsoft.com/office/drawing/2014/main" id="{BA1A9713-A0D8-4EC9-869A-D0C9E287C91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6780" y="18000"/>
              <a:ext cx="324000" cy="324000"/>
            </a:xfrm>
            <a:prstGeom prst="rect">
              <a:avLst/>
            </a:prstGeom>
          </xdr:spPr>
        </xdr:pic>
        <xdr:sp macro="" textlink="">
          <xdr:nvSpPr>
            <xdr:cNvPr id="105" name="Rectangle 104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7CB4701C-264C-448F-8339-B6FED650EBBE}"/>
                </a:ext>
              </a:extLst>
            </xdr:cNvPr>
            <xdr:cNvSpPr/>
          </xdr:nvSpPr>
          <xdr:spPr>
            <a:xfrm>
              <a:off x="321564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HOME</a:t>
              </a:r>
            </a:p>
          </xdr:txBody>
        </xdr:sp>
        <xdr:sp macro="" textlink="">
          <xdr:nvSpPr>
            <xdr:cNvPr id="106" name="Rectangle 10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758E31E1-1337-4260-B81A-D1608ECC449B}"/>
                </a:ext>
              </a:extLst>
            </xdr:cNvPr>
            <xdr:cNvSpPr/>
          </xdr:nvSpPr>
          <xdr:spPr>
            <a:xfrm>
              <a:off x="4200144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CHẤM</a:t>
              </a:r>
              <a:r>
                <a:rPr lang="en-US" sz="1100" b="1" baseline="0"/>
                <a:t> CÔNG</a:t>
              </a:r>
            </a:p>
            <a:p>
              <a:pPr algn="ctr"/>
              <a:endParaRPr lang="en-US" sz="1100" b="1"/>
            </a:p>
          </xdr:txBody>
        </xdr:sp>
        <xdr:sp macro="" textlink="">
          <xdr:nvSpPr>
            <xdr:cNvPr id="107" name="Rectangle 106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7ACD5969-721B-4A53-9E95-B93F753FBC24}"/>
                </a:ext>
              </a:extLst>
            </xdr:cNvPr>
            <xdr:cNvSpPr/>
          </xdr:nvSpPr>
          <xdr:spPr>
            <a:xfrm>
              <a:off x="5184648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BÁO</a:t>
              </a:r>
              <a:r>
                <a:rPr lang="en-US" sz="1100" b="1" baseline="0"/>
                <a:t> CÁO</a:t>
              </a:r>
              <a:endParaRPr lang="en-US" sz="1100" b="1"/>
            </a:p>
          </xdr:txBody>
        </xdr:sp>
        <xdr:sp macro="" textlink="">
          <xdr:nvSpPr>
            <xdr:cNvPr id="108" name="Rectangle 107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40574562-A479-4B18-9F82-00811FF98B25}"/>
                </a:ext>
              </a:extLst>
            </xdr:cNvPr>
            <xdr:cNvSpPr/>
          </xdr:nvSpPr>
          <xdr:spPr>
            <a:xfrm>
              <a:off x="6169152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B.</a:t>
              </a:r>
              <a:r>
                <a:rPr lang="en-US" sz="1100" b="1" baseline="0"/>
                <a:t> LƯƠNG</a:t>
              </a:r>
              <a:endParaRPr lang="en-US" sz="1100" b="1"/>
            </a:p>
          </xdr:txBody>
        </xdr:sp>
        <xdr:sp macro="" textlink="">
          <xdr:nvSpPr>
            <xdr:cNvPr id="109" name="Rectangle 108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606419DE-3304-4F8E-83E6-7E6ADFDA2782}"/>
                </a:ext>
              </a:extLst>
            </xdr:cNvPr>
            <xdr:cNvSpPr/>
          </xdr:nvSpPr>
          <xdr:spPr>
            <a:xfrm>
              <a:off x="7153656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DS NV</a:t>
              </a:r>
            </a:p>
          </xdr:txBody>
        </xdr:sp>
        <xdr:sp macro="" textlink="">
          <xdr:nvSpPr>
            <xdr:cNvPr id="110" name="Rectangle 109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868B2DE-8A72-49CA-8A49-895DFCCB493B}"/>
                </a:ext>
              </a:extLst>
            </xdr:cNvPr>
            <xdr:cNvSpPr/>
          </xdr:nvSpPr>
          <xdr:spPr>
            <a:xfrm>
              <a:off x="8138160" y="156210"/>
              <a:ext cx="972000" cy="1905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>
                  <a:solidFill>
                    <a:srgbClr val="002060"/>
                  </a:solidFill>
                </a:rPr>
                <a:t>CÀI</a:t>
              </a:r>
              <a:r>
                <a:rPr lang="en-US" sz="1100" b="1" baseline="0">
                  <a:solidFill>
                    <a:srgbClr val="002060"/>
                  </a:solidFill>
                </a:rPr>
                <a:t> ĐẶT</a:t>
              </a:r>
              <a:endParaRPr lang="en-US" sz="1100" b="1">
                <a:solidFill>
                  <a:srgbClr val="002060"/>
                </a:solidFill>
              </a:endParaRPr>
            </a:p>
          </xdr:txBody>
        </xdr:sp>
      </xdr:grpSp>
      <xdr:sp macro="" textlink="">
        <xdr:nvSpPr>
          <xdr:cNvPr id="100" name="TextBox 99">
            <a:extLst>
              <a:ext uri="{FF2B5EF4-FFF2-40B4-BE49-F238E27FC236}">
                <a16:creationId xmlns:a16="http://schemas.microsoft.com/office/drawing/2014/main" id="{B2746A7C-4A48-4337-85E9-841792C04A6F}"/>
              </a:ext>
            </a:extLst>
          </xdr:cNvPr>
          <xdr:cNvSpPr txBox="1"/>
        </xdr:nvSpPr>
        <xdr:spPr>
          <a:xfrm>
            <a:off x="1226820" y="121920"/>
            <a:ext cx="1463040" cy="2514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i="1">
                <a:solidFill>
                  <a:schemeClr val="bg1"/>
                </a:solidFill>
              </a:rPr>
              <a:t>@Copyright</a:t>
            </a:r>
            <a:r>
              <a:rPr lang="en-US" sz="1000" i="1" baseline="0">
                <a:solidFill>
                  <a:schemeClr val="bg1"/>
                </a:solidFill>
              </a:rPr>
              <a:t> by MJK</a:t>
            </a:r>
            <a:endParaRPr lang="vi-VN" sz="1000" i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15</xdr:col>
      <xdr:colOff>594360</xdr:colOff>
      <xdr:row>3</xdr:row>
      <xdr:rowOff>17100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B2F4AD32-7E58-4923-80D1-6A6B9F42928F}"/>
            </a:ext>
          </a:extLst>
        </xdr:cNvPr>
        <xdr:cNvGrpSpPr/>
      </xdr:nvGrpSpPr>
      <xdr:grpSpPr>
        <a:xfrm>
          <a:off x="0" y="0"/>
          <a:ext cx="12298680" cy="565740"/>
          <a:chOff x="0" y="0"/>
          <a:chExt cx="12298680" cy="542880"/>
        </a:xfrm>
      </xdr:grpSpPr>
      <xdr:grpSp>
        <xdr:nvGrpSpPr>
          <xdr:cNvPr id="27" name="Group 26">
            <a:extLst>
              <a:ext uri="{FF2B5EF4-FFF2-40B4-BE49-F238E27FC236}">
                <a16:creationId xmlns:a16="http://schemas.microsoft.com/office/drawing/2014/main" id="{01F55562-072F-44AE-B7E6-BDD31A3B6096}"/>
              </a:ext>
            </a:extLst>
          </xdr:cNvPr>
          <xdr:cNvGrpSpPr/>
        </xdr:nvGrpSpPr>
        <xdr:grpSpPr>
          <a:xfrm>
            <a:off x="0" y="0"/>
            <a:ext cx="12298680" cy="542880"/>
            <a:chOff x="0" y="0"/>
            <a:chExt cx="12298680" cy="542880"/>
          </a:xfrm>
        </xdr:grpSpPr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80C7AB2F-00B4-4FB4-9DE0-0F4B0D5ED1FD}"/>
                </a:ext>
              </a:extLst>
            </xdr:cNvPr>
            <xdr:cNvSpPr/>
          </xdr:nvSpPr>
          <xdr:spPr>
            <a:xfrm>
              <a:off x="0" y="182880"/>
              <a:ext cx="12298680" cy="3600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sp macro="" textlink="">
          <xdr:nvSpPr>
            <xdr:cNvPr id="30" name="Rectangle 29">
              <a:extLst>
                <a:ext uri="{FF2B5EF4-FFF2-40B4-BE49-F238E27FC236}">
                  <a16:creationId xmlns:a16="http://schemas.microsoft.com/office/drawing/2014/main" id="{03D85222-0549-49D6-A815-7003E766ECCE}"/>
                </a:ext>
              </a:extLst>
            </xdr:cNvPr>
            <xdr:cNvSpPr/>
          </xdr:nvSpPr>
          <xdr:spPr>
            <a:xfrm>
              <a:off x="0" y="0"/>
              <a:ext cx="12298680" cy="360000"/>
            </a:xfrm>
            <a:prstGeom prst="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pic>
          <xdr:nvPicPr>
            <xdr:cNvPr id="31" name="Picture 30">
              <a:extLst>
                <a:ext uri="{FF2B5EF4-FFF2-40B4-BE49-F238E27FC236}">
                  <a16:creationId xmlns:a16="http://schemas.microsoft.com/office/drawing/2014/main" id="{DF4D1535-C521-424C-8539-2A7B0A1E978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41021" y="18000"/>
              <a:ext cx="324000" cy="324000"/>
            </a:xfrm>
            <a:prstGeom prst="rect">
              <a:avLst/>
            </a:prstGeom>
          </xdr:spPr>
        </xdr:pic>
        <xdr:pic>
          <xdr:nvPicPr>
            <xdr:cNvPr id="32" name="Picture 31">
              <a:extLst>
                <a:ext uri="{FF2B5EF4-FFF2-40B4-BE49-F238E27FC236}">
                  <a16:creationId xmlns:a16="http://schemas.microsoft.com/office/drawing/2014/main" id="{00658DC8-45E4-4FF1-9CD0-83E5A13AD4A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6780" y="18000"/>
              <a:ext cx="324000" cy="324000"/>
            </a:xfrm>
            <a:prstGeom prst="rect">
              <a:avLst/>
            </a:prstGeom>
          </xdr:spPr>
        </xdr:pic>
        <xdr:sp macro="" textlink="">
          <xdr:nvSpPr>
            <xdr:cNvPr id="33" name="Rectangle 32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B4CF32FB-7623-4EAF-97E2-273F5B5BA544}"/>
                </a:ext>
              </a:extLst>
            </xdr:cNvPr>
            <xdr:cNvSpPr/>
          </xdr:nvSpPr>
          <xdr:spPr>
            <a:xfrm>
              <a:off x="321564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HOME</a:t>
              </a:r>
            </a:p>
          </xdr:txBody>
        </xdr:sp>
        <xdr:sp macro="" textlink="">
          <xdr:nvSpPr>
            <xdr:cNvPr id="34" name="Rectangle 33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3C3840BD-FE20-4DBA-85C6-A8E928A62E9E}"/>
                </a:ext>
              </a:extLst>
            </xdr:cNvPr>
            <xdr:cNvSpPr/>
          </xdr:nvSpPr>
          <xdr:spPr>
            <a:xfrm>
              <a:off x="4200144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CHẤM</a:t>
              </a:r>
              <a:r>
                <a:rPr lang="en-US" sz="1100" b="1" baseline="0"/>
                <a:t> CÔNG</a:t>
              </a:r>
            </a:p>
            <a:p>
              <a:pPr algn="ctr"/>
              <a:endParaRPr lang="en-US" sz="1100" b="1"/>
            </a:p>
          </xdr:txBody>
        </xdr:sp>
        <xdr:sp macro="" textlink="">
          <xdr:nvSpPr>
            <xdr:cNvPr id="35" name="Rectangle 34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136AD130-6F20-4DB0-9474-2B2C6ABED5E3}"/>
                </a:ext>
              </a:extLst>
            </xdr:cNvPr>
            <xdr:cNvSpPr/>
          </xdr:nvSpPr>
          <xdr:spPr>
            <a:xfrm>
              <a:off x="5184648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BÁO</a:t>
              </a:r>
              <a:r>
                <a:rPr lang="en-US" sz="1100" b="1" baseline="0"/>
                <a:t> CÁO</a:t>
              </a:r>
              <a:endParaRPr lang="en-US" sz="1100" b="1"/>
            </a:p>
          </xdr:txBody>
        </xdr:sp>
        <xdr:sp macro="" textlink="">
          <xdr:nvSpPr>
            <xdr:cNvPr id="36" name="Rectangle 3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B597CCB9-108C-4AF9-AA5A-2D94A499BCCD}"/>
                </a:ext>
              </a:extLst>
            </xdr:cNvPr>
            <xdr:cNvSpPr/>
          </xdr:nvSpPr>
          <xdr:spPr>
            <a:xfrm>
              <a:off x="6169152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B.</a:t>
              </a:r>
              <a:r>
                <a:rPr lang="en-US" sz="1100" b="1" baseline="0"/>
                <a:t> LƯƠNG</a:t>
              </a:r>
              <a:endParaRPr lang="en-US" sz="1100" b="1"/>
            </a:p>
          </xdr:txBody>
        </xdr:sp>
        <xdr:sp macro="" textlink="">
          <xdr:nvSpPr>
            <xdr:cNvPr id="37" name="Rectangle 36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86EF218A-A47E-4579-B7A0-23E503DC0F0F}"/>
                </a:ext>
              </a:extLst>
            </xdr:cNvPr>
            <xdr:cNvSpPr/>
          </xdr:nvSpPr>
          <xdr:spPr>
            <a:xfrm>
              <a:off x="7153656" y="156210"/>
              <a:ext cx="972000" cy="1905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>
                  <a:solidFill>
                    <a:srgbClr val="002060"/>
                  </a:solidFill>
                </a:rPr>
                <a:t>DS NV</a:t>
              </a:r>
            </a:p>
          </xdr:txBody>
        </xdr:sp>
        <xdr:sp macro="" textlink="">
          <xdr:nvSpPr>
            <xdr:cNvPr id="38" name="Rectangle 37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CA5E57D1-B932-4E93-B28E-EA26CE9625F1}"/>
                </a:ext>
              </a:extLst>
            </xdr:cNvPr>
            <xdr:cNvSpPr/>
          </xdr:nvSpPr>
          <xdr:spPr>
            <a:xfrm>
              <a:off x="813816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CÀI</a:t>
              </a:r>
              <a:r>
                <a:rPr lang="en-US" sz="1100" b="1" baseline="0"/>
                <a:t> ĐẶT</a:t>
              </a:r>
              <a:endParaRPr lang="en-US" sz="1100" b="1"/>
            </a:p>
          </xdr:txBody>
        </xdr:sp>
      </xdr:grpSp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36EF7DD2-3F4E-4DD5-BBE7-A9B936EF288B}"/>
              </a:ext>
            </a:extLst>
          </xdr:cNvPr>
          <xdr:cNvSpPr txBox="1"/>
        </xdr:nvSpPr>
        <xdr:spPr>
          <a:xfrm>
            <a:off x="1226820" y="121920"/>
            <a:ext cx="1463040" cy="2514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i="1">
                <a:solidFill>
                  <a:schemeClr val="bg1"/>
                </a:solidFill>
              </a:rPr>
              <a:t>@Copyright</a:t>
            </a:r>
            <a:r>
              <a:rPr lang="en-US" sz="1000" i="1" baseline="0">
                <a:solidFill>
                  <a:schemeClr val="bg1"/>
                </a:solidFill>
              </a:rPr>
              <a:t> by MJK</a:t>
            </a:r>
            <a:endParaRPr lang="vi-VN" sz="1000" i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74</xdr:col>
      <xdr:colOff>586740</xdr:colOff>
      <xdr:row>3</xdr:row>
      <xdr:rowOff>18270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BFDD0642-1FC0-4910-A334-C8AEF083185A}"/>
            </a:ext>
          </a:extLst>
        </xdr:cNvPr>
        <xdr:cNvGrpSpPr/>
      </xdr:nvGrpSpPr>
      <xdr:grpSpPr>
        <a:xfrm>
          <a:off x="0" y="0"/>
          <a:ext cx="22059900" cy="566910"/>
          <a:chOff x="0" y="0"/>
          <a:chExt cx="22059900" cy="544050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2B971BDA-F794-438C-93BF-E27E61871CCD}"/>
              </a:ext>
            </a:extLst>
          </xdr:cNvPr>
          <xdr:cNvGrpSpPr/>
        </xdr:nvGrpSpPr>
        <xdr:grpSpPr>
          <a:xfrm>
            <a:off x="0" y="0"/>
            <a:ext cx="22059900" cy="544050"/>
            <a:chOff x="0" y="0"/>
            <a:chExt cx="22059900" cy="544050"/>
          </a:xfrm>
        </xdr:grpSpPr>
        <xdr:sp macro="" textlink="">
          <xdr:nvSpPr>
            <xdr:cNvPr id="3" name="Rectangle 2">
              <a:extLst>
                <a:ext uri="{FF2B5EF4-FFF2-40B4-BE49-F238E27FC236}">
                  <a16:creationId xmlns:a16="http://schemas.microsoft.com/office/drawing/2014/main" id="{6DE2E392-6746-4FC7-8F09-4DF924CA2732}"/>
                </a:ext>
              </a:extLst>
            </xdr:cNvPr>
            <xdr:cNvSpPr/>
          </xdr:nvSpPr>
          <xdr:spPr>
            <a:xfrm>
              <a:off x="0" y="182880"/>
              <a:ext cx="22059900" cy="3600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sp macro="" textlink="">
          <xdr:nvSpPr>
            <xdr:cNvPr id="4" name="Rectangle 3">
              <a:extLst>
                <a:ext uri="{FF2B5EF4-FFF2-40B4-BE49-F238E27FC236}">
                  <a16:creationId xmlns:a16="http://schemas.microsoft.com/office/drawing/2014/main" id="{E39CE3A4-13E1-4005-B41D-C9B637EC0DF7}"/>
                </a:ext>
              </a:extLst>
            </xdr:cNvPr>
            <xdr:cNvSpPr/>
          </xdr:nvSpPr>
          <xdr:spPr>
            <a:xfrm>
              <a:off x="0" y="0"/>
              <a:ext cx="22059900" cy="360000"/>
            </a:xfrm>
            <a:prstGeom prst="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pic>
          <xdr:nvPicPr>
            <xdr:cNvPr id="5" name="Picture 4">
              <a:extLst>
                <a:ext uri="{FF2B5EF4-FFF2-40B4-BE49-F238E27FC236}">
                  <a16:creationId xmlns:a16="http://schemas.microsoft.com/office/drawing/2014/main" id="{2B16C189-C92E-42FB-86DB-8F658BF1103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41021" y="18000"/>
              <a:ext cx="324000" cy="324000"/>
            </a:xfrm>
            <a:prstGeom prst="rect">
              <a:avLst/>
            </a:prstGeom>
          </xdr:spPr>
        </xdr:pic>
        <xdr:pic>
          <xdr:nvPicPr>
            <xdr:cNvPr id="6" name="Picture 5">
              <a:extLst>
                <a:ext uri="{FF2B5EF4-FFF2-40B4-BE49-F238E27FC236}">
                  <a16:creationId xmlns:a16="http://schemas.microsoft.com/office/drawing/2014/main" id="{E8E0A44C-CF20-4C21-9A48-F109B55B2F0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6780" y="18000"/>
              <a:ext cx="324000" cy="324000"/>
            </a:xfrm>
            <a:prstGeom prst="rect">
              <a:avLst/>
            </a:prstGeom>
          </xdr:spPr>
        </xdr:pic>
        <xdr:sp macro="" textlink="">
          <xdr:nvSpPr>
            <xdr:cNvPr id="7" name="Rectangle 6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57C2A6F8-4CD8-4402-9E69-9CA7023FC29E}"/>
                </a:ext>
              </a:extLst>
            </xdr:cNvPr>
            <xdr:cNvSpPr/>
          </xdr:nvSpPr>
          <xdr:spPr>
            <a:xfrm>
              <a:off x="321564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HOME</a:t>
              </a:r>
            </a:p>
          </xdr:txBody>
        </xdr:sp>
        <xdr:sp macro="" textlink="">
          <xdr:nvSpPr>
            <xdr:cNvPr id="8" name="Rectangle 7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4FB7467B-7D64-450D-8D80-CCBFB9AD56AE}"/>
                </a:ext>
              </a:extLst>
            </xdr:cNvPr>
            <xdr:cNvSpPr/>
          </xdr:nvSpPr>
          <xdr:spPr>
            <a:xfrm>
              <a:off x="4200144" y="156210"/>
              <a:ext cx="972000" cy="1905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>
                  <a:solidFill>
                    <a:srgbClr val="002060"/>
                  </a:solidFill>
                </a:rPr>
                <a:t>CHẤM</a:t>
              </a:r>
              <a:r>
                <a:rPr lang="en-US" sz="1100" b="1" baseline="0">
                  <a:solidFill>
                    <a:srgbClr val="002060"/>
                  </a:solidFill>
                </a:rPr>
                <a:t> CÔNG</a:t>
              </a:r>
            </a:p>
            <a:p>
              <a:pPr algn="ctr"/>
              <a:endParaRPr lang="en-US" sz="1100" b="1">
                <a:solidFill>
                  <a:srgbClr val="002060"/>
                </a:solidFill>
              </a:endParaRPr>
            </a:p>
          </xdr:txBody>
        </xdr:sp>
        <xdr:sp macro="" textlink="">
          <xdr:nvSpPr>
            <xdr:cNvPr id="9" name="Rectangle 8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C37DDFE3-9CCD-4171-8CE9-1A36BDCFF083}"/>
                </a:ext>
              </a:extLst>
            </xdr:cNvPr>
            <xdr:cNvSpPr/>
          </xdr:nvSpPr>
          <xdr:spPr>
            <a:xfrm>
              <a:off x="5184648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BÁO</a:t>
              </a:r>
              <a:r>
                <a:rPr lang="en-US" sz="1100" b="1" baseline="0"/>
                <a:t> CÁO</a:t>
              </a:r>
              <a:endParaRPr lang="en-US" sz="1100" b="1"/>
            </a:p>
          </xdr:txBody>
        </xdr:sp>
        <xdr:sp macro="" textlink="">
          <xdr:nvSpPr>
            <xdr:cNvPr id="10" name="Rectangle 9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8A2133DB-6FD7-47D7-92D0-23900D234040}"/>
                </a:ext>
              </a:extLst>
            </xdr:cNvPr>
            <xdr:cNvSpPr/>
          </xdr:nvSpPr>
          <xdr:spPr>
            <a:xfrm>
              <a:off x="6169152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B.</a:t>
              </a:r>
              <a:r>
                <a:rPr lang="en-US" sz="1100" b="1" baseline="0"/>
                <a:t> LƯƠNG</a:t>
              </a:r>
              <a:endParaRPr lang="en-US" sz="1100" b="1"/>
            </a:p>
          </xdr:txBody>
        </xdr:sp>
        <xdr:sp macro="" textlink="">
          <xdr:nvSpPr>
            <xdr:cNvPr id="11" name="Rectangle 1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5A0F32C6-C949-415E-A7FB-93C115D54E65}"/>
                </a:ext>
              </a:extLst>
            </xdr:cNvPr>
            <xdr:cNvSpPr/>
          </xdr:nvSpPr>
          <xdr:spPr>
            <a:xfrm>
              <a:off x="7153656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DS NV</a:t>
              </a:r>
            </a:p>
          </xdr:txBody>
        </xdr:sp>
        <xdr:sp macro="" textlink="">
          <xdr:nvSpPr>
            <xdr:cNvPr id="12" name="Rectangle 11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1A89AA1D-585D-4710-9F4A-370D4A93C460}"/>
                </a:ext>
              </a:extLst>
            </xdr:cNvPr>
            <xdr:cNvSpPr/>
          </xdr:nvSpPr>
          <xdr:spPr>
            <a:xfrm>
              <a:off x="813816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CÀI</a:t>
              </a:r>
              <a:r>
                <a:rPr lang="en-US" sz="1100" b="1" baseline="0"/>
                <a:t> ĐẶT</a:t>
              </a:r>
              <a:endParaRPr lang="en-US" sz="1100" b="1"/>
            </a:p>
          </xdr:txBody>
        </xdr:sp>
        <xdr:sp macro="" textlink="">
          <xdr:nvSpPr>
            <xdr:cNvPr id="13" name="Rectangle 1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360455BB-4B69-4BB4-B308-2D97E51E2183}"/>
                </a:ext>
              </a:extLst>
            </xdr:cNvPr>
            <xdr:cNvSpPr/>
          </xdr:nvSpPr>
          <xdr:spPr>
            <a:xfrm>
              <a:off x="327279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3</a:t>
              </a:r>
            </a:p>
          </xdr:txBody>
        </xdr:sp>
        <xdr:sp macro="" textlink="">
          <xdr:nvSpPr>
            <xdr:cNvPr id="14" name="Rectangle 1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8DB32792-8449-4D1D-9E8C-17A644BCA6FA}"/>
                </a:ext>
              </a:extLst>
            </xdr:cNvPr>
            <xdr:cNvSpPr/>
          </xdr:nvSpPr>
          <xdr:spPr>
            <a:xfrm>
              <a:off x="399859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4</a:t>
              </a:r>
            </a:p>
          </xdr:txBody>
        </xdr:sp>
        <xdr:sp macro="" textlink="">
          <xdr:nvSpPr>
            <xdr:cNvPr id="15" name="Rectangle 14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C606563E-42A1-4FA7-AE41-474F0D841A41}"/>
                </a:ext>
              </a:extLst>
            </xdr:cNvPr>
            <xdr:cNvSpPr/>
          </xdr:nvSpPr>
          <xdr:spPr>
            <a:xfrm>
              <a:off x="1821180" y="400050"/>
              <a:ext cx="720000" cy="144000"/>
            </a:xfrm>
            <a:prstGeom prst="rect">
              <a:avLst/>
            </a:prstGeom>
            <a:solidFill>
              <a:schemeClr val="bg1">
                <a:lumMod val="6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>
                  <a:solidFill>
                    <a:srgbClr val="FFFF00"/>
                  </a:solidFill>
                </a:rPr>
                <a:t>THÁNG</a:t>
              </a:r>
              <a:r>
                <a:rPr lang="en-US" sz="900" b="1" baseline="0">
                  <a:solidFill>
                    <a:srgbClr val="FFFF00"/>
                  </a:solidFill>
                </a:rPr>
                <a:t> 1</a:t>
              </a:r>
              <a:endParaRPr lang="en-US" sz="900" b="1">
                <a:solidFill>
                  <a:srgbClr val="FFFF00"/>
                </a:solidFill>
              </a:endParaRPr>
            </a:p>
          </xdr:txBody>
        </xdr:sp>
        <xdr:sp macro="" textlink="">
          <xdr:nvSpPr>
            <xdr:cNvPr id="16" name="Rectangle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7E674DD4-EC6B-42B2-8561-BF293B7060F0}"/>
                </a:ext>
              </a:extLst>
            </xdr:cNvPr>
            <xdr:cNvSpPr/>
          </xdr:nvSpPr>
          <xdr:spPr>
            <a:xfrm>
              <a:off x="980503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12</a:t>
              </a:r>
            </a:p>
          </xdr:txBody>
        </xdr:sp>
        <xdr:sp macro="" textlink="">
          <xdr:nvSpPr>
            <xdr:cNvPr id="17" name="Rectangle 1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FF43D4B7-E34B-4DED-9B65-A7E87737BA62}"/>
                </a:ext>
              </a:extLst>
            </xdr:cNvPr>
            <xdr:cNvSpPr/>
          </xdr:nvSpPr>
          <xdr:spPr>
            <a:xfrm>
              <a:off x="254698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THÁNG</a:t>
              </a:r>
              <a:r>
                <a:rPr lang="en-US" sz="9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2</a:t>
              </a:r>
            </a:p>
          </xdr:txBody>
        </xdr:sp>
        <xdr:sp macro="" textlink="">
          <xdr:nvSpPr>
            <xdr:cNvPr id="18" name="Rectangle 1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81C3A650-52E4-42B8-BF66-0E7C168BED59}"/>
                </a:ext>
              </a:extLst>
            </xdr:cNvPr>
            <xdr:cNvSpPr/>
          </xdr:nvSpPr>
          <xdr:spPr>
            <a:xfrm>
              <a:off x="472440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5</a:t>
              </a:r>
            </a:p>
          </xdr:txBody>
        </xdr:sp>
        <xdr:sp macro="" textlink="">
          <xdr:nvSpPr>
            <xdr:cNvPr id="19" name="Rectangle 1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2A70C716-E8EF-438D-8268-A9C50A6006EA}"/>
                </a:ext>
              </a:extLst>
            </xdr:cNvPr>
            <xdr:cNvSpPr/>
          </xdr:nvSpPr>
          <xdr:spPr>
            <a:xfrm>
              <a:off x="907923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11</a:t>
              </a:r>
            </a:p>
          </xdr:txBody>
        </xdr:sp>
        <xdr:sp macro="" textlink="">
          <xdr:nvSpPr>
            <xdr:cNvPr id="20" name="Rectangle 19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B25EB795-CDA9-4192-942C-B424C2FCB67C}"/>
                </a:ext>
              </a:extLst>
            </xdr:cNvPr>
            <xdr:cNvSpPr/>
          </xdr:nvSpPr>
          <xdr:spPr>
            <a:xfrm>
              <a:off x="835342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10</a:t>
              </a:r>
            </a:p>
          </xdr:txBody>
        </xdr:sp>
        <xdr:sp macro="" textlink="">
          <xdr:nvSpPr>
            <xdr:cNvPr id="21" name="Rectangle 20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9D1D2ABF-3F04-41BD-B14F-DFC4A47A0F72}"/>
                </a:ext>
              </a:extLst>
            </xdr:cNvPr>
            <xdr:cNvSpPr/>
          </xdr:nvSpPr>
          <xdr:spPr>
            <a:xfrm>
              <a:off x="545020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6</a:t>
              </a:r>
            </a:p>
          </xdr:txBody>
        </xdr:sp>
        <xdr:sp macro="" textlink="">
          <xdr:nvSpPr>
            <xdr:cNvPr id="22" name="Rectangle 2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F58240E0-D954-4A54-A9A9-DFC462C86E2B}"/>
                </a:ext>
              </a:extLst>
            </xdr:cNvPr>
            <xdr:cNvSpPr/>
          </xdr:nvSpPr>
          <xdr:spPr>
            <a:xfrm>
              <a:off x="617601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7</a:t>
              </a:r>
            </a:p>
          </xdr:txBody>
        </xdr:sp>
        <xdr:sp macro="" textlink="">
          <xdr:nvSpPr>
            <xdr:cNvPr id="23" name="Rectangle 22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EF19B0DF-DB2C-439A-9435-6EBE7E6EC120}"/>
                </a:ext>
              </a:extLst>
            </xdr:cNvPr>
            <xdr:cNvSpPr/>
          </xdr:nvSpPr>
          <xdr:spPr>
            <a:xfrm>
              <a:off x="690181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8</a:t>
              </a:r>
            </a:p>
          </xdr:txBody>
        </xdr:sp>
        <xdr:sp macro="" textlink="">
          <xdr:nvSpPr>
            <xdr:cNvPr id="24" name="Rectangle 23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37F65B53-4AA9-44FB-B1CB-81ECB9B56D77}"/>
                </a:ext>
              </a:extLst>
            </xdr:cNvPr>
            <xdr:cNvSpPr/>
          </xdr:nvSpPr>
          <xdr:spPr>
            <a:xfrm>
              <a:off x="762762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9</a:t>
              </a:r>
            </a:p>
          </xdr:txBody>
        </xdr:sp>
      </xdr:grpSp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F4C91128-0398-4347-AC7A-C5CE69F5B973}"/>
              </a:ext>
            </a:extLst>
          </xdr:cNvPr>
          <xdr:cNvSpPr txBox="1"/>
        </xdr:nvSpPr>
        <xdr:spPr>
          <a:xfrm>
            <a:off x="1226820" y="121920"/>
            <a:ext cx="1463040" cy="2514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i="1">
                <a:solidFill>
                  <a:schemeClr val="bg1"/>
                </a:solidFill>
              </a:rPr>
              <a:t>@Copyright</a:t>
            </a:r>
            <a:r>
              <a:rPr lang="en-US" sz="1000" i="1" baseline="0">
                <a:solidFill>
                  <a:schemeClr val="bg1"/>
                </a:solidFill>
              </a:rPr>
              <a:t> by MJK</a:t>
            </a:r>
            <a:endParaRPr lang="vi-VN" sz="1000" i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74</xdr:col>
      <xdr:colOff>586740</xdr:colOff>
      <xdr:row>3</xdr:row>
      <xdr:rowOff>18270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6363BC59-1C34-4571-BA1E-CFFD20560F6C}"/>
            </a:ext>
          </a:extLst>
        </xdr:cNvPr>
        <xdr:cNvGrpSpPr/>
      </xdr:nvGrpSpPr>
      <xdr:grpSpPr>
        <a:xfrm>
          <a:off x="0" y="0"/>
          <a:ext cx="22059900" cy="566910"/>
          <a:chOff x="0" y="0"/>
          <a:chExt cx="22236318" cy="544050"/>
        </a:xfrm>
      </xdr:grpSpPr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92D424AC-E731-4B27-946C-6462E7DF5A74}"/>
              </a:ext>
            </a:extLst>
          </xdr:cNvPr>
          <xdr:cNvGrpSpPr/>
        </xdr:nvGrpSpPr>
        <xdr:grpSpPr>
          <a:xfrm>
            <a:off x="0" y="0"/>
            <a:ext cx="22236318" cy="544050"/>
            <a:chOff x="0" y="0"/>
            <a:chExt cx="22236318" cy="544050"/>
          </a:xfrm>
        </xdr:grpSpPr>
        <xdr:sp macro="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AEB5E143-E74B-44D4-909D-3650D8F03368}"/>
                </a:ext>
              </a:extLst>
            </xdr:cNvPr>
            <xdr:cNvSpPr/>
          </xdr:nvSpPr>
          <xdr:spPr>
            <a:xfrm>
              <a:off x="0" y="182880"/>
              <a:ext cx="22236318" cy="3600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sp macro="" textlink="">
          <xdr:nvSpPr>
            <xdr:cNvPr id="54" name="Rectangle 53">
              <a:extLst>
                <a:ext uri="{FF2B5EF4-FFF2-40B4-BE49-F238E27FC236}">
                  <a16:creationId xmlns:a16="http://schemas.microsoft.com/office/drawing/2014/main" id="{1D429BF7-44CB-4B83-BB9A-5DFEC2E59E33}"/>
                </a:ext>
              </a:extLst>
            </xdr:cNvPr>
            <xdr:cNvSpPr/>
          </xdr:nvSpPr>
          <xdr:spPr>
            <a:xfrm>
              <a:off x="0" y="0"/>
              <a:ext cx="22236318" cy="360000"/>
            </a:xfrm>
            <a:prstGeom prst="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pic>
          <xdr:nvPicPr>
            <xdr:cNvPr id="55" name="Picture 54">
              <a:extLst>
                <a:ext uri="{FF2B5EF4-FFF2-40B4-BE49-F238E27FC236}">
                  <a16:creationId xmlns:a16="http://schemas.microsoft.com/office/drawing/2014/main" id="{852DF364-A41F-4A69-94A9-6EE911DEFE0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41021" y="18000"/>
              <a:ext cx="324000" cy="324000"/>
            </a:xfrm>
            <a:prstGeom prst="rect">
              <a:avLst/>
            </a:prstGeom>
          </xdr:spPr>
        </xdr:pic>
        <xdr:pic>
          <xdr:nvPicPr>
            <xdr:cNvPr id="56" name="Picture 55">
              <a:extLst>
                <a:ext uri="{FF2B5EF4-FFF2-40B4-BE49-F238E27FC236}">
                  <a16:creationId xmlns:a16="http://schemas.microsoft.com/office/drawing/2014/main" id="{8FA6442E-ABCD-41DB-9902-5F3C57D1E5C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6780" y="18000"/>
              <a:ext cx="324000" cy="324000"/>
            </a:xfrm>
            <a:prstGeom prst="rect">
              <a:avLst/>
            </a:prstGeom>
          </xdr:spPr>
        </xdr:pic>
        <xdr:sp macro="" textlink="">
          <xdr:nvSpPr>
            <xdr:cNvPr id="57" name="Rectangle 56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2AAFDAAB-8A5A-4695-8588-DD2FDBA49EAC}"/>
                </a:ext>
              </a:extLst>
            </xdr:cNvPr>
            <xdr:cNvSpPr/>
          </xdr:nvSpPr>
          <xdr:spPr>
            <a:xfrm>
              <a:off x="321564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HOME</a:t>
              </a:r>
            </a:p>
          </xdr:txBody>
        </xdr:sp>
        <xdr:sp macro="" textlink="">
          <xdr:nvSpPr>
            <xdr:cNvPr id="58" name="Rectangle 57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D2069CEC-6844-436B-ADF5-FED7BC0AE4B3}"/>
                </a:ext>
              </a:extLst>
            </xdr:cNvPr>
            <xdr:cNvSpPr/>
          </xdr:nvSpPr>
          <xdr:spPr>
            <a:xfrm>
              <a:off x="4200144" y="156210"/>
              <a:ext cx="972000" cy="1905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>
                  <a:solidFill>
                    <a:srgbClr val="002060"/>
                  </a:solidFill>
                </a:rPr>
                <a:t>CHẤM</a:t>
              </a:r>
              <a:r>
                <a:rPr lang="en-US" sz="1100" b="1" baseline="0">
                  <a:solidFill>
                    <a:srgbClr val="002060"/>
                  </a:solidFill>
                </a:rPr>
                <a:t> CÔNG</a:t>
              </a:r>
            </a:p>
            <a:p>
              <a:pPr algn="ctr"/>
              <a:endParaRPr lang="en-US" sz="1100" b="1">
                <a:solidFill>
                  <a:srgbClr val="002060"/>
                </a:solidFill>
              </a:endParaRPr>
            </a:p>
          </xdr:txBody>
        </xdr:sp>
        <xdr:sp macro="" textlink="">
          <xdr:nvSpPr>
            <xdr:cNvPr id="59" name="Rectangle 58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6940162C-E045-4D7D-A979-D44A9B71E113}"/>
                </a:ext>
              </a:extLst>
            </xdr:cNvPr>
            <xdr:cNvSpPr/>
          </xdr:nvSpPr>
          <xdr:spPr>
            <a:xfrm>
              <a:off x="5184648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BÁO</a:t>
              </a:r>
              <a:r>
                <a:rPr lang="en-US" sz="1100" b="1" baseline="0"/>
                <a:t> CÁO</a:t>
              </a:r>
              <a:endParaRPr lang="en-US" sz="1100" b="1"/>
            </a:p>
          </xdr:txBody>
        </xdr:sp>
        <xdr:sp macro="" textlink="">
          <xdr:nvSpPr>
            <xdr:cNvPr id="60" name="Rectangle 59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973889A3-AF24-4939-8BAE-90C16F1148DC}"/>
                </a:ext>
              </a:extLst>
            </xdr:cNvPr>
            <xdr:cNvSpPr/>
          </xdr:nvSpPr>
          <xdr:spPr>
            <a:xfrm>
              <a:off x="6169152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B.</a:t>
              </a:r>
              <a:r>
                <a:rPr lang="en-US" sz="1100" b="1" baseline="0"/>
                <a:t> LƯƠNG</a:t>
              </a:r>
              <a:endParaRPr lang="en-US" sz="1100" b="1"/>
            </a:p>
          </xdr:txBody>
        </xdr:sp>
        <xdr:sp macro="" textlink="">
          <xdr:nvSpPr>
            <xdr:cNvPr id="61" name="Rectangle 6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2F773F56-9003-4664-8945-C0BCD5F5B3EF}"/>
                </a:ext>
              </a:extLst>
            </xdr:cNvPr>
            <xdr:cNvSpPr/>
          </xdr:nvSpPr>
          <xdr:spPr>
            <a:xfrm>
              <a:off x="7153656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DS NV</a:t>
              </a:r>
            </a:p>
          </xdr:txBody>
        </xdr:sp>
        <xdr:sp macro="" textlink="">
          <xdr:nvSpPr>
            <xdr:cNvPr id="62" name="Rectangle 61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53E04094-0F74-4F64-8ED5-44C530E2D0E0}"/>
                </a:ext>
              </a:extLst>
            </xdr:cNvPr>
            <xdr:cNvSpPr/>
          </xdr:nvSpPr>
          <xdr:spPr>
            <a:xfrm>
              <a:off x="813816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CÀI</a:t>
              </a:r>
              <a:r>
                <a:rPr lang="en-US" sz="1100" b="1" baseline="0"/>
                <a:t> ĐẶT</a:t>
              </a:r>
              <a:endParaRPr lang="en-US" sz="1100" b="1"/>
            </a:p>
          </xdr:txBody>
        </xdr:sp>
        <xdr:sp macro="" textlink="">
          <xdr:nvSpPr>
            <xdr:cNvPr id="63" name="Rectangle 6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9A587F3D-5F67-4FC5-B333-C6E4AC10A7F1}"/>
                </a:ext>
              </a:extLst>
            </xdr:cNvPr>
            <xdr:cNvSpPr/>
          </xdr:nvSpPr>
          <xdr:spPr>
            <a:xfrm>
              <a:off x="327279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3</a:t>
              </a:r>
            </a:p>
          </xdr:txBody>
        </xdr:sp>
        <xdr:sp macro="" textlink="">
          <xdr:nvSpPr>
            <xdr:cNvPr id="64" name="Rectangle 6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F0C4B391-5288-4148-85A8-2A588950D3B8}"/>
                </a:ext>
              </a:extLst>
            </xdr:cNvPr>
            <xdr:cNvSpPr/>
          </xdr:nvSpPr>
          <xdr:spPr>
            <a:xfrm>
              <a:off x="399859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4</a:t>
              </a:r>
            </a:p>
          </xdr:txBody>
        </xdr:sp>
        <xdr:sp macro="" textlink="">
          <xdr:nvSpPr>
            <xdr:cNvPr id="65" name="Rectangle 64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F9C3EC61-257B-4335-BF02-AF697E63D13C}"/>
                </a:ext>
              </a:extLst>
            </xdr:cNvPr>
            <xdr:cNvSpPr/>
          </xdr:nvSpPr>
          <xdr:spPr>
            <a:xfrm>
              <a:off x="182118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>
                  <a:solidFill>
                    <a:schemeClr val="bg1"/>
                  </a:solidFill>
                </a:rPr>
                <a:t>THÁNG</a:t>
              </a:r>
              <a:r>
                <a:rPr lang="en-US" sz="900" b="1" baseline="0">
                  <a:solidFill>
                    <a:schemeClr val="bg1"/>
                  </a:solidFill>
                </a:rPr>
                <a:t> 1</a:t>
              </a:r>
              <a:endParaRPr lang="en-US" sz="9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66" name="Rectangle 6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D9CCC679-6332-4891-9B86-AD2A74E38453}"/>
                </a:ext>
              </a:extLst>
            </xdr:cNvPr>
            <xdr:cNvSpPr/>
          </xdr:nvSpPr>
          <xdr:spPr>
            <a:xfrm>
              <a:off x="980503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12</a:t>
              </a:r>
            </a:p>
          </xdr:txBody>
        </xdr:sp>
        <xdr:sp macro="" textlink="">
          <xdr:nvSpPr>
            <xdr:cNvPr id="67" name="Rectangle 6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1212C4B9-3D61-4917-9EA2-23ECCEF39340}"/>
                </a:ext>
              </a:extLst>
            </xdr:cNvPr>
            <xdr:cNvSpPr/>
          </xdr:nvSpPr>
          <xdr:spPr>
            <a:xfrm>
              <a:off x="2546985" y="400050"/>
              <a:ext cx="720000" cy="144000"/>
            </a:xfrm>
            <a:prstGeom prst="rect">
              <a:avLst/>
            </a:prstGeom>
            <a:solidFill>
              <a:schemeClr val="bg1">
                <a:lumMod val="6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>
                  <a:solidFill>
                    <a:srgbClr val="FFFF00"/>
                  </a:solidFill>
                  <a:effectLst/>
                  <a:latin typeface="+mn-lt"/>
                  <a:ea typeface="+mn-ea"/>
                  <a:cs typeface="+mn-cs"/>
                </a:rPr>
                <a:t>THÁNG</a:t>
              </a:r>
              <a:r>
                <a:rPr lang="en-US" sz="900" b="1" baseline="0">
                  <a:solidFill>
                    <a:srgbClr val="FFFF00"/>
                  </a:solidFill>
                  <a:effectLst/>
                  <a:latin typeface="+mn-lt"/>
                  <a:ea typeface="+mn-ea"/>
                  <a:cs typeface="+mn-cs"/>
                </a:rPr>
                <a:t> 2</a:t>
              </a:r>
            </a:p>
          </xdr:txBody>
        </xdr:sp>
        <xdr:sp macro="" textlink="">
          <xdr:nvSpPr>
            <xdr:cNvPr id="68" name="Rectangle 6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33B7DF2C-74BD-4A83-ABAF-BE7F8E350D21}"/>
                </a:ext>
              </a:extLst>
            </xdr:cNvPr>
            <xdr:cNvSpPr/>
          </xdr:nvSpPr>
          <xdr:spPr>
            <a:xfrm>
              <a:off x="472440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5</a:t>
              </a:r>
            </a:p>
          </xdr:txBody>
        </xdr:sp>
        <xdr:sp macro="" textlink="">
          <xdr:nvSpPr>
            <xdr:cNvPr id="69" name="Rectangle 6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42FF8652-896A-446A-A294-76D1261614C8}"/>
                </a:ext>
              </a:extLst>
            </xdr:cNvPr>
            <xdr:cNvSpPr/>
          </xdr:nvSpPr>
          <xdr:spPr>
            <a:xfrm>
              <a:off x="907923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11</a:t>
              </a:r>
            </a:p>
          </xdr:txBody>
        </xdr:sp>
        <xdr:sp macro="" textlink="">
          <xdr:nvSpPr>
            <xdr:cNvPr id="70" name="Rectangle 69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1218FB74-F958-4E3E-8BA4-A2D25AC24168}"/>
                </a:ext>
              </a:extLst>
            </xdr:cNvPr>
            <xdr:cNvSpPr/>
          </xdr:nvSpPr>
          <xdr:spPr>
            <a:xfrm>
              <a:off x="835342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10</a:t>
              </a:r>
            </a:p>
          </xdr:txBody>
        </xdr:sp>
        <xdr:sp macro="" textlink="">
          <xdr:nvSpPr>
            <xdr:cNvPr id="71" name="Rectangle 70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616D3AE5-C33D-4766-963B-B9756B4735A9}"/>
                </a:ext>
              </a:extLst>
            </xdr:cNvPr>
            <xdr:cNvSpPr/>
          </xdr:nvSpPr>
          <xdr:spPr>
            <a:xfrm>
              <a:off x="545020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6</a:t>
              </a:r>
            </a:p>
          </xdr:txBody>
        </xdr:sp>
        <xdr:sp macro="" textlink="">
          <xdr:nvSpPr>
            <xdr:cNvPr id="72" name="Rectangle 7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B168C93F-8DE7-423B-B716-DF748ABFCF9D}"/>
                </a:ext>
              </a:extLst>
            </xdr:cNvPr>
            <xdr:cNvSpPr/>
          </xdr:nvSpPr>
          <xdr:spPr>
            <a:xfrm>
              <a:off x="617601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7</a:t>
              </a:r>
            </a:p>
          </xdr:txBody>
        </xdr:sp>
        <xdr:sp macro="" textlink="">
          <xdr:nvSpPr>
            <xdr:cNvPr id="73" name="Rectangle 72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93A444B5-0D3A-4432-8E63-D5500BBDE75A}"/>
                </a:ext>
              </a:extLst>
            </xdr:cNvPr>
            <xdr:cNvSpPr/>
          </xdr:nvSpPr>
          <xdr:spPr>
            <a:xfrm>
              <a:off x="690181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8</a:t>
              </a:r>
            </a:p>
          </xdr:txBody>
        </xdr:sp>
        <xdr:sp macro="" textlink="">
          <xdr:nvSpPr>
            <xdr:cNvPr id="74" name="Rectangle 73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46BC5C2-229C-4BFA-98D9-6170775220A6}"/>
                </a:ext>
              </a:extLst>
            </xdr:cNvPr>
            <xdr:cNvSpPr/>
          </xdr:nvSpPr>
          <xdr:spPr>
            <a:xfrm>
              <a:off x="762762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9</a:t>
              </a:r>
            </a:p>
          </xdr:txBody>
        </xdr:sp>
      </xdr:grp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600F69ED-D2BD-4B3C-AD90-D74EE6905460}"/>
              </a:ext>
            </a:extLst>
          </xdr:cNvPr>
          <xdr:cNvSpPr txBox="1"/>
        </xdr:nvSpPr>
        <xdr:spPr>
          <a:xfrm>
            <a:off x="1226820" y="121920"/>
            <a:ext cx="1463040" cy="2514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i="1">
                <a:solidFill>
                  <a:schemeClr val="bg1"/>
                </a:solidFill>
              </a:rPr>
              <a:t>@Copyright</a:t>
            </a:r>
            <a:r>
              <a:rPr lang="en-US" sz="1000" i="1" baseline="0">
                <a:solidFill>
                  <a:schemeClr val="bg1"/>
                </a:solidFill>
              </a:rPr>
              <a:t> by MJK</a:t>
            </a:r>
            <a:endParaRPr lang="vi-VN" sz="1000" i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74</xdr:col>
      <xdr:colOff>601980</xdr:colOff>
      <xdr:row>3</xdr:row>
      <xdr:rowOff>18270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660A42E3-A449-4EF3-9D85-2DF4FF09B5F9}"/>
            </a:ext>
          </a:extLst>
        </xdr:cNvPr>
        <xdr:cNvGrpSpPr/>
      </xdr:nvGrpSpPr>
      <xdr:grpSpPr>
        <a:xfrm>
          <a:off x="0" y="0"/>
          <a:ext cx="22120860" cy="566910"/>
          <a:chOff x="0" y="0"/>
          <a:chExt cx="22120860" cy="544050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EE91D72A-458B-4244-A773-5B476C03F79D}"/>
              </a:ext>
            </a:extLst>
          </xdr:cNvPr>
          <xdr:cNvGrpSpPr/>
        </xdr:nvGrpSpPr>
        <xdr:grpSpPr>
          <a:xfrm>
            <a:off x="0" y="0"/>
            <a:ext cx="22120860" cy="544050"/>
            <a:chOff x="0" y="0"/>
            <a:chExt cx="22120860" cy="544050"/>
          </a:xfrm>
        </xdr:grpSpPr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34F5CD91-BDA8-4685-B840-D8E480BECD8D}"/>
                </a:ext>
              </a:extLst>
            </xdr:cNvPr>
            <xdr:cNvSpPr/>
          </xdr:nvSpPr>
          <xdr:spPr>
            <a:xfrm>
              <a:off x="0" y="182880"/>
              <a:ext cx="22120860" cy="3600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5E4CB407-C7B2-43E8-B04F-4A5FD3F954DA}"/>
                </a:ext>
              </a:extLst>
            </xdr:cNvPr>
            <xdr:cNvSpPr/>
          </xdr:nvSpPr>
          <xdr:spPr>
            <a:xfrm>
              <a:off x="0" y="0"/>
              <a:ext cx="22120860" cy="360000"/>
            </a:xfrm>
            <a:prstGeom prst="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pic>
          <xdr:nvPicPr>
            <xdr:cNvPr id="30" name="Picture 29">
              <a:extLst>
                <a:ext uri="{FF2B5EF4-FFF2-40B4-BE49-F238E27FC236}">
                  <a16:creationId xmlns:a16="http://schemas.microsoft.com/office/drawing/2014/main" id="{F1A634C5-1216-41D4-B90C-010A4190D3F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41021" y="18000"/>
              <a:ext cx="324000" cy="324000"/>
            </a:xfrm>
            <a:prstGeom prst="rect">
              <a:avLst/>
            </a:prstGeom>
          </xdr:spPr>
        </xdr:pic>
        <xdr:pic>
          <xdr:nvPicPr>
            <xdr:cNvPr id="31" name="Picture 30">
              <a:extLst>
                <a:ext uri="{FF2B5EF4-FFF2-40B4-BE49-F238E27FC236}">
                  <a16:creationId xmlns:a16="http://schemas.microsoft.com/office/drawing/2014/main" id="{D3DF85F9-574B-48BE-8044-9DF8C852B57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6780" y="18000"/>
              <a:ext cx="324000" cy="324000"/>
            </a:xfrm>
            <a:prstGeom prst="rect">
              <a:avLst/>
            </a:prstGeom>
          </xdr:spPr>
        </xdr:pic>
        <xdr:sp macro="" textlink="">
          <xdr:nvSpPr>
            <xdr:cNvPr id="32" name="Rectangle 3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E0F12A6-DD03-4D56-B5CB-1D44333A3EBA}"/>
                </a:ext>
              </a:extLst>
            </xdr:cNvPr>
            <xdr:cNvSpPr/>
          </xdr:nvSpPr>
          <xdr:spPr>
            <a:xfrm>
              <a:off x="321564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HOME</a:t>
              </a:r>
            </a:p>
          </xdr:txBody>
        </xdr:sp>
        <xdr:sp macro="" textlink="">
          <xdr:nvSpPr>
            <xdr:cNvPr id="33" name="Rectangle 3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AC7E8A7A-FD68-49AA-AB23-3A9C452055A0}"/>
                </a:ext>
              </a:extLst>
            </xdr:cNvPr>
            <xdr:cNvSpPr/>
          </xdr:nvSpPr>
          <xdr:spPr>
            <a:xfrm>
              <a:off x="4200144" y="156210"/>
              <a:ext cx="972000" cy="1905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>
                  <a:solidFill>
                    <a:srgbClr val="002060"/>
                  </a:solidFill>
                </a:rPr>
                <a:t>CHẤM</a:t>
              </a:r>
              <a:r>
                <a:rPr lang="en-US" sz="1100" b="1" baseline="0">
                  <a:solidFill>
                    <a:srgbClr val="002060"/>
                  </a:solidFill>
                </a:rPr>
                <a:t> CÔNG</a:t>
              </a:r>
            </a:p>
            <a:p>
              <a:pPr algn="ctr"/>
              <a:endParaRPr lang="en-US" sz="1100" b="1">
                <a:solidFill>
                  <a:srgbClr val="002060"/>
                </a:solidFill>
              </a:endParaRPr>
            </a:p>
          </xdr:txBody>
        </xdr:sp>
        <xdr:sp macro="" textlink="">
          <xdr:nvSpPr>
            <xdr:cNvPr id="34" name="Rectangle 3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1734C4D8-467D-4A32-B5CC-52C259FC863F}"/>
                </a:ext>
              </a:extLst>
            </xdr:cNvPr>
            <xdr:cNvSpPr/>
          </xdr:nvSpPr>
          <xdr:spPr>
            <a:xfrm>
              <a:off x="5184648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BÁO</a:t>
              </a:r>
              <a:r>
                <a:rPr lang="en-US" sz="1100" b="1" baseline="0"/>
                <a:t> CÁO</a:t>
              </a:r>
              <a:endParaRPr lang="en-US" sz="1100" b="1"/>
            </a:p>
          </xdr:txBody>
        </xdr:sp>
        <xdr:sp macro="" textlink="">
          <xdr:nvSpPr>
            <xdr:cNvPr id="35" name="Rectangle 3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4FBA5ADC-C79B-4B6C-9B1C-F4E42E56BB5C}"/>
                </a:ext>
              </a:extLst>
            </xdr:cNvPr>
            <xdr:cNvSpPr/>
          </xdr:nvSpPr>
          <xdr:spPr>
            <a:xfrm>
              <a:off x="6169152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B.</a:t>
              </a:r>
              <a:r>
                <a:rPr lang="en-US" sz="1100" b="1" baseline="0"/>
                <a:t> LƯƠNG</a:t>
              </a:r>
              <a:endParaRPr lang="en-US" sz="1100" b="1"/>
            </a:p>
          </xdr:txBody>
        </xdr:sp>
        <xdr:sp macro="" textlink="">
          <xdr:nvSpPr>
            <xdr:cNvPr id="36" name="Rectangle 3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1855CCFE-D574-41F9-A59F-A4C14E9A8141}"/>
                </a:ext>
              </a:extLst>
            </xdr:cNvPr>
            <xdr:cNvSpPr/>
          </xdr:nvSpPr>
          <xdr:spPr>
            <a:xfrm>
              <a:off x="7153656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DS NV</a:t>
              </a:r>
            </a:p>
          </xdr:txBody>
        </xdr:sp>
        <xdr:sp macro="" textlink="">
          <xdr:nvSpPr>
            <xdr:cNvPr id="37" name="Rectangle 3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A56B73D-3C83-4CF6-924F-FFC3E8244549}"/>
                </a:ext>
              </a:extLst>
            </xdr:cNvPr>
            <xdr:cNvSpPr/>
          </xdr:nvSpPr>
          <xdr:spPr>
            <a:xfrm>
              <a:off x="813816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CÀI</a:t>
              </a:r>
              <a:r>
                <a:rPr lang="en-US" sz="1100" b="1" baseline="0"/>
                <a:t> ĐẶT</a:t>
              </a:r>
              <a:endParaRPr lang="en-US" sz="1100" b="1"/>
            </a:p>
          </xdr:txBody>
        </xdr:sp>
        <xdr:sp macro="" textlink="">
          <xdr:nvSpPr>
            <xdr:cNvPr id="38" name="Rectangle 3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6BCFF9B6-DA5A-40A5-9DFD-9CF53C6E3CD3}"/>
                </a:ext>
              </a:extLst>
            </xdr:cNvPr>
            <xdr:cNvSpPr/>
          </xdr:nvSpPr>
          <xdr:spPr>
            <a:xfrm>
              <a:off x="3272790" y="400050"/>
              <a:ext cx="720000" cy="144000"/>
            </a:xfrm>
            <a:prstGeom prst="rect">
              <a:avLst/>
            </a:prstGeom>
            <a:solidFill>
              <a:schemeClr val="bg1">
                <a:lumMod val="6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>
                  <a:solidFill>
                    <a:srgbClr val="FFFF00"/>
                  </a:solidFill>
                </a:rPr>
                <a:t>THÁNG 3</a:t>
              </a:r>
            </a:p>
          </xdr:txBody>
        </xdr:sp>
        <xdr:sp macro="" textlink="">
          <xdr:nvSpPr>
            <xdr:cNvPr id="39" name="Rectangle 3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EBF11519-C1C3-4F6B-8071-C2F16A532713}"/>
                </a:ext>
              </a:extLst>
            </xdr:cNvPr>
            <xdr:cNvSpPr/>
          </xdr:nvSpPr>
          <xdr:spPr>
            <a:xfrm>
              <a:off x="399859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4</a:t>
              </a:r>
            </a:p>
          </xdr:txBody>
        </xdr:sp>
        <xdr:sp macro="" textlink="">
          <xdr:nvSpPr>
            <xdr:cNvPr id="40" name="Rectangle 39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AA2D8664-1FD2-4107-998D-DE6BDDB0100C}"/>
                </a:ext>
              </a:extLst>
            </xdr:cNvPr>
            <xdr:cNvSpPr/>
          </xdr:nvSpPr>
          <xdr:spPr>
            <a:xfrm>
              <a:off x="182118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</a:t>
              </a:r>
              <a:r>
                <a:rPr lang="en-US" sz="900" b="1" baseline="0"/>
                <a:t> 1</a:t>
              </a:r>
              <a:endParaRPr lang="en-US" sz="900" b="1"/>
            </a:p>
          </xdr:txBody>
        </xdr:sp>
        <xdr:sp macro="" textlink="">
          <xdr:nvSpPr>
            <xdr:cNvPr id="41" name="Rectangle 4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98202140-F255-45BB-AE07-A61BD97F09F6}"/>
                </a:ext>
              </a:extLst>
            </xdr:cNvPr>
            <xdr:cNvSpPr/>
          </xdr:nvSpPr>
          <xdr:spPr>
            <a:xfrm>
              <a:off x="980503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12</a:t>
              </a:r>
            </a:p>
          </xdr:txBody>
        </xdr:sp>
        <xdr:sp macro="" textlink="">
          <xdr:nvSpPr>
            <xdr:cNvPr id="42" name="Rectangle 4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F1FF1458-C7BC-4260-BB37-AB13FC7AC31E}"/>
                </a:ext>
              </a:extLst>
            </xdr:cNvPr>
            <xdr:cNvSpPr/>
          </xdr:nvSpPr>
          <xdr:spPr>
            <a:xfrm>
              <a:off x="254698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THÁNG</a:t>
              </a:r>
              <a:r>
                <a:rPr lang="en-US" sz="9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2</a:t>
              </a:r>
            </a:p>
          </xdr:txBody>
        </xdr:sp>
        <xdr:sp macro="" textlink="">
          <xdr:nvSpPr>
            <xdr:cNvPr id="43" name="Rectangle 42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D2668CA8-3843-4DA5-A4AD-D32478A71284}"/>
                </a:ext>
              </a:extLst>
            </xdr:cNvPr>
            <xdr:cNvSpPr/>
          </xdr:nvSpPr>
          <xdr:spPr>
            <a:xfrm>
              <a:off x="472440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5</a:t>
              </a:r>
            </a:p>
          </xdr:txBody>
        </xdr:sp>
        <xdr:sp macro="" textlink="">
          <xdr:nvSpPr>
            <xdr:cNvPr id="44" name="Rectangle 43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9CB2002A-C344-4CA0-9E28-055C6D754619}"/>
                </a:ext>
              </a:extLst>
            </xdr:cNvPr>
            <xdr:cNvSpPr/>
          </xdr:nvSpPr>
          <xdr:spPr>
            <a:xfrm>
              <a:off x="907923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11</a:t>
              </a:r>
            </a:p>
          </xdr:txBody>
        </xdr:sp>
        <xdr:sp macro="" textlink="">
          <xdr:nvSpPr>
            <xdr:cNvPr id="45" name="Rectangle 44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B6420E37-53B9-4086-8C66-ED76B7BEDBB1}"/>
                </a:ext>
              </a:extLst>
            </xdr:cNvPr>
            <xdr:cNvSpPr/>
          </xdr:nvSpPr>
          <xdr:spPr>
            <a:xfrm>
              <a:off x="835342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10</a:t>
              </a:r>
            </a:p>
          </xdr:txBody>
        </xdr:sp>
        <xdr:sp macro="" textlink="">
          <xdr:nvSpPr>
            <xdr:cNvPr id="46" name="Rectangle 45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53709D24-6F54-489F-A049-F2396B44C534}"/>
                </a:ext>
              </a:extLst>
            </xdr:cNvPr>
            <xdr:cNvSpPr/>
          </xdr:nvSpPr>
          <xdr:spPr>
            <a:xfrm>
              <a:off x="545020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6</a:t>
              </a:r>
            </a:p>
          </xdr:txBody>
        </xdr:sp>
        <xdr:sp macro="" textlink="">
          <xdr:nvSpPr>
            <xdr:cNvPr id="47" name="Rectangle 4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166866-046B-4763-A069-D719C0141185}"/>
                </a:ext>
              </a:extLst>
            </xdr:cNvPr>
            <xdr:cNvSpPr/>
          </xdr:nvSpPr>
          <xdr:spPr>
            <a:xfrm>
              <a:off x="617601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7</a:t>
              </a:r>
            </a:p>
          </xdr:txBody>
        </xdr:sp>
        <xdr:sp macro="" textlink="">
          <xdr:nvSpPr>
            <xdr:cNvPr id="48" name="Rectangle 4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76ED5F7A-F7F9-4041-9FBE-68749D5F06E9}"/>
                </a:ext>
              </a:extLst>
            </xdr:cNvPr>
            <xdr:cNvSpPr/>
          </xdr:nvSpPr>
          <xdr:spPr>
            <a:xfrm>
              <a:off x="690181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8</a:t>
              </a:r>
            </a:p>
          </xdr:txBody>
        </xdr:sp>
        <xdr:sp macro="" textlink="">
          <xdr:nvSpPr>
            <xdr:cNvPr id="49" name="Rectangle 48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55E71738-7DCF-4374-ADF4-33DAD06D458E}"/>
                </a:ext>
              </a:extLst>
            </xdr:cNvPr>
            <xdr:cNvSpPr/>
          </xdr:nvSpPr>
          <xdr:spPr>
            <a:xfrm>
              <a:off x="762762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9</a:t>
              </a:r>
            </a:p>
          </xdr:txBody>
        </xdr:sp>
      </xdr:grp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F73C2A25-197B-4545-978A-4C24E40531D9}"/>
              </a:ext>
            </a:extLst>
          </xdr:cNvPr>
          <xdr:cNvSpPr txBox="1"/>
        </xdr:nvSpPr>
        <xdr:spPr>
          <a:xfrm>
            <a:off x="1226820" y="121920"/>
            <a:ext cx="1463040" cy="2514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i="1">
                <a:solidFill>
                  <a:schemeClr val="bg1"/>
                </a:solidFill>
              </a:rPr>
              <a:t>@Copyright</a:t>
            </a:r>
            <a:r>
              <a:rPr lang="en-US" sz="1000" i="1" baseline="0">
                <a:solidFill>
                  <a:schemeClr val="bg1"/>
                </a:solidFill>
              </a:rPr>
              <a:t> by MJK</a:t>
            </a:r>
            <a:endParaRPr lang="vi-VN" sz="1000" i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74</xdr:col>
      <xdr:colOff>601980</xdr:colOff>
      <xdr:row>3</xdr:row>
      <xdr:rowOff>18270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942C64C1-9930-424E-AA06-C85DD5B377A3}"/>
            </a:ext>
          </a:extLst>
        </xdr:cNvPr>
        <xdr:cNvGrpSpPr/>
      </xdr:nvGrpSpPr>
      <xdr:grpSpPr>
        <a:xfrm>
          <a:off x="0" y="0"/>
          <a:ext cx="22075140" cy="566910"/>
          <a:chOff x="0" y="0"/>
          <a:chExt cx="22075140" cy="544050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AB3F40DD-DE28-451C-AC12-66965130319B}"/>
              </a:ext>
            </a:extLst>
          </xdr:cNvPr>
          <xdr:cNvGrpSpPr/>
        </xdr:nvGrpSpPr>
        <xdr:grpSpPr>
          <a:xfrm>
            <a:off x="0" y="0"/>
            <a:ext cx="22075140" cy="544050"/>
            <a:chOff x="0" y="0"/>
            <a:chExt cx="22075140" cy="544050"/>
          </a:xfrm>
        </xdr:grpSpPr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CC4A2F67-30FD-4FE5-A4B8-63FC7E95D8B9}"/>
                </a:ext>
              </a:extLst>
            </xdr:cNvPr>
            <xdr:cNvSpPr/>
          </xdr:nvSpPr>
          <xdr:spPr>
            <a:xfrm>
              <a:off x="0" y="182880"/>
              <a:ext cx="22075140" cy="3600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72547DE2-C322-4C0F-BECD-F143E61237D2}"/>
                </a:ext>
              </a:extLst>
            </xdr:cNvPr>
            <xdr:cNvSpPr/>
          </xdr:nvSpPr>
          <xdr:spPr>
            <a:xfrm>
              <a:off x="0" y="0"/>
              <a:ext cx="22075140" cy="360000"/>
            </a:xfrm>
            <a:prstGeom prst="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pic>
          <xdr:nvPicPr>
            <xdr:cNvPr id="30" name="Picture 29">
              <a:extLst>
                <a:ext uri="{FF2B5EF4-FFF2-40B4-BE49-F238E27FC236}">
                  <a16:creationId xmlns:a16="http://schemas.microsoft.com/office/drawing/2014/main" id="{DB734346-CD88-49A9-A75E-BBD41070475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41021" y="18000"/>
              <a:ext cx="324000" cy="324000"/>
            </a:xfrm>
            <a:prstGeom prst="rect">
              <a:avLst/>
            </a:prstGeom>
          </xdr:spPr>
        </xdr:pic>
        <xdr:pic>
          <xdr:nvPicPr>
            <xdr:cNvPr id="31" name="Picture 30">
              <a:extLst>
                <a:ext uri="{FF2B5EF4-FFF2-40B4-BE49-F238E27FC236}">
                  <a16:creationId xmlns:a16="http://schemas.microsoft.com/office/drawing/2014/main" id="{B2D1F22E-F37C-4409-B617-5F1014EC6A1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6780" y="18000"/>
              <a:ext cx="324000" cy="324000"/>
            </a:xfrm>
            <a:prstGeom prst="rect">
              <a:avLst/>
            </a:prstGeom>
          </xdr:spPr>
        </xdr:pic>
        <xdr:sp macro="" textlink="">
          <xdr:nvSpPr>
            <xdr:cNvPr id="32" name="Rectangle 3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F19447B6-0C20-4659-8DE5-647AB062992A}"/>
                </a:ext>
              </a:extLst>
            </xdr:cNvPr>
            <xdr:cNvSpPr/>
          </xdr:nvSpPr>
          <xdr:spPr>
            <a:xfrm>
              <a:off x="321564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HOME</a:t>
              </a:r>
            </a:p>
          </xdr:txBody>
        </xdr:sp>
        <xdr:sp macro="" textlink="">
          <xdr:nvSpPr>
            <xdr:cNvPr id="33" name="Rectangle 3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2A1E4458-623E-4EF5-AA58-525EC7E7DA88}"/>
                </a:ext>
              </a:extLst>
            </xdr:cNvPr>
            <xdr:cNvSpPr/>
          </xdr:nvSpPr>
          <xdr:spPr>
            <a:xfrm>
              <a:off x="4200144" y="156210"/>
              <a:ext cx="972000" cy="1905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>
                  <a:solidFill>
                    <a:srgbClr val="002060"/>
                  </a:solidFill>
                </a:rPr>
                <a:t>CHẤM</a:t>
              </a:r>
              <a:r>
                <a:rPr lang="en-US" sz="1100" b="1" baseline="0">
                  <a:solidFill>
                    <a:srgbClr val="002060"/>
                  </a:solidFill>
                </a:rPr>
                <a:t> CÔNG</a:t>
              </a:r>
            </a:p>
            <a:p>
              <a:pPr algn="ctr"/>
              <a:endParaRPr lang="en-US" sz="1100" b="1">
                <a:solidFill>
                  <a:srgbClr val="002060"/>
                </a:solidFill>
              </a:endParaRPr>
            </a:p>
          </xdr:txBody>
        </xdr:sp>
        <xdr:sp macro="" textlink="">
          <xdr:nvSpPr>
            <xdr:cNvPr id="34" name="Rectangle 3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BF0C1125-7420-46C0-B14C-0FFA5A8ADFBB}"/>
                </a:ext>
              </a:extLst>
            </xdr:cNvPr>
            <xdr:cNvSpPr/>
          </xdr:nvSpPr>
          <xdr:spPr>
            <a:xfrm>
              <a:off x="5184648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BÁO</a:t>
              </a:r>
              <a:r>
                <a:rPr lang="en-US" sz="1100" b="1" baseline="0"/>
                <a:t> CÁO</a:t>
              </a:r>
              <a:endParaRPr lang="en-US" sz="1100" b="1"/>
            </a:p>
          </xdr:txBody>
        </xdr:sp>
        <xdr:sp macro="" textlink="">
          <xdr:nvSpPr>
            <xdr:cNvPr id="35" name="Rectangle 3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45277224-A5E2-4288-9524-518C679C18D9}"/>
                </a:ext>
              </a:extLst>
            </xdr:cNvPr>
            <xdr:cNvSpPr/>
          </xdr:nvSpPr>
          <xdr:spPr>
            <a:xfrm>
              <a:off x="6169152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B.</a:t>
              </a:r>
              <a:r>
                <a:rPr lang="en-US" sz="1100" b="1" baseline="0"/>
                <a:t> LƯƠNG</a:t>
              </a:r>
              <a:endParaRPr lang="en-US" sz="1100" b="1"/>
            </a:p>
          </xdr:txBody>
        </xdr:sp>
        <xdr:sp macro="" textlink="">
          <xdr:nvSpPr>
            <xdr:cNvPr id="36" name="Rectangle 3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A9A48135-A5C1-4794-AE3E-62146E95050B}"/>
                </a:ext>
              </a:extLst>
            </xdr:cNvPr>
            <xdr:cNvSpPr/>
          </xdr:nvSpPr>
          <xdr:spPr>
            <a:xfrm>
              <a:off x="7153656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DS NV</a:t>
              </a:r>
            </a:p>
          </xdr:txBody>
        </xdr:sp>
        <xdr:sp macro="" textlink="">
          <xdr:nvSpPr>
            <xdr:cNvPr id="37" name="Rectangle 3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B2E835CA-4FBB-4DA5-87B0-681AA18E2BD1}"/>
                </a:ext>
              </a:extLst>
            </xdr:cNvPr>
            <xdr:cNvSpPr/>
          </xdr:nvSpPr>
          <xdr:spPr>
            <a:xfrm>
              <a:off x="813816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CÀI</a:t>
              </a:r>
              <a:r>
                <a:rPr lang="en-US" sz="1100" b="1" baseline="0"/>
                <a:t> ĐẶT</a:t>
              </a:r>
              <a:endParaRPr lang="en-US" sz="1100" b="1"/>
            </a:p>
          </xdr:txBody>
        </xdr:sp>
        <xdr:sp macro="" textlink="">
          <xdr:nvSpPr>
            <xdr:cNvPr id="38" name="Rectangle 3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724A816A-357E-4A99-A62C-1B477546F17F}"/>
                </a:ext>
              </a:extLst>
            </xdr:cNvPr>
            <xdr:cNvSpPr/>
          </xdr:nvSpPr>
          <xdr:spPr>
            <a:xfrm>
              <a:off x="327279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3</a:t>
              </a:r>
            </a:p>
          </xdr:txBody>
        </xdr:sp>
        <xdr:sp macro="" textlink="">
          <xdr:nvSpPr>
            <xdr:cNvPr id="39" name="Rectangle 3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DFD7765E-3E03-40E4-9AC6-9C0D1A2E34CF}"/>
                </a:ext>
              </a:extLst>
            </xdr:cNvPr>
            <xdr:cNvSpPr/>
          </xdr:nvSpPr>
          <xdr:spPr>
            <a:xfrm>
              <a:off x="3998595" y="400050"/>
              <a:ext cx="720000" cy="144000"/>
            </a:xfrm>
            <a:prstGeom prst="rect">
              <a:avLst/>
            </a:prstGeom>
            <a:solidFill>
              <a:schemeClr val="bg1">
                <a:lumMod val="6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>
                  <a:solidFill>
                    <a:srgbClr val="FFFF00"/>
                  </a:solidFill>
                </a:rPr>
                <a:t>THÁNG 4</a:t>
              </a:r>
            </a:p>
          </xdr:txBody>
        </xdr:sp>
        <xdr:sp macro="" textlink="">
          <xdr:nvSpPr>
            <xdr:cNvPr id="40" name="Rectangle 39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A7854C84-40DA-40DD-883A-06AD63238E83}"/>
                </a:ext>
              </a:extLst>
            </xdr:cNvPr>
            <xdr:cNvSpPr/>
          </xdr:nvSpPr>
          <xdr:spPr>
            <a:xfrm>
              <a:off x="182118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</a:t>
              </a:r>
              <a:r>
                <a:rPr lang="en-US" sz="900" b="1" baseline="0"/>
                <a:t> 1</a:t>
              </a:r>
              <a:endParaRPr lang="en-US" sz="900" b="1"/>
            </a:p>
          </xdr:txBody>
        </xdr:sp>
        <xdr:sp macro="" textlink="">
          <xdr:nvSpPr>
            <xdr:cNvPr id="41" name="Rectangle 4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3E628845-B30D-4506-B707-46AE3086F1D6}"/>
                </a:ext>
              </a:extLst>
            </xdr:cNvPr>
            <xdr:cNvSpPr/>
          </xdr:nvSpPr>
          <xdr:spPr>
            <a:xfrm>
              <a:off x="980503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12</a:t>
              </a:r>
            </a:p>
          </xdr:txBody>
        </xdr:sp>
        <xdr:sp macro="" textlink="">
          <xdr:nvSpPr>
            <xdr:cNvPr id="42" name="Rectangle 4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17542EE2-96B1-4BCF-A4CC-1DBD51C0A307}"/>
                </a:ext>
              </a:extLst>
            </xdr:cNvPr>
            <xdr:cNvSpPr/>
          </xdr:nvSpPr>
          <xdr:spPr>
            <a:xfrm>
              <a:off x="254698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THÁNG</a:t>
              </a:r>
              <a:r>
                <a:rPr lang="en-US" sz="9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2</a:t>
              </a:r>
            </a:p>
          </xdr:txBody>
        </xdr:sp>
        <xdr:sp macro="" textlink="">
          <xdr:nvSpPr>
            <xdr:cNvPr id="43" name="Rectangle 42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BB4A13B2-82E9-4DF7-B0BE-7BAD63C10C29}"/>
                </a:ext>
              </a:extLst>
            </xdr:cNvPr>
            <xdr:cNvSpPr/>
          </xdr:nvSpPr>
          <xdr:spPr>
            <a:xfrm>
              <a:off x="472440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5</a:t>
              </a:r>
            </a:p>
          </xdr:txBody>
        </xdr:sp>
        <xdr:sp macro="" textlink="">
          <xdr:nvSpPr>
            <xdr:cNvPr id="44" name="Rectangle 43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85D0240C-A1FE-4510-8D84-246086BEBE59}"/>
                </a:ext>
              </a:extLst>
            </xdr:cNvPr>
            <xdr:cNvSpPr/>
          </xdr:nvSpPr>
          <xdr:spPr>
            <a:xfrm>
              <a:off x="907923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11</a:t>
              </a:r>
            </a:p>
          </xdr:txBody>
        </xdr:sp>
        <xdr:sp macro="" textlink="">
          <xdr:nvSpPr>
            <xdr:cNvPr id="45" name="Rectangle 44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A272D60F-EF9D-46A9-8C08-ADC88AF69971}"/>
                </a:ext>
              </a:extLst>
            </xdr:cNvPr>
            <xdr:cNvSpPr/>
          </xdr:nvSpPr>
          <xdr:spPr>
            <a:xfrm>
              <a:off x="835342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10</a:t>
              </a:r>
            </a:p>
          </xdr:txBody>
        </xdr:sp>
        <xdr:sp macro="" textlink="">
          <xdr:nvSpPr>
            <xdr:cNvPr id="46" name="Rectangle 45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9DFD158D-4864-4450-9E2F-8B7CE216590C}"/>
                </a:ext>
              </a:extLst>
            </xdr:cNvPr>
            <xdr:cNvSpPr/>
          </xdr:nvSpPr>
          <xdr:spPr>
            <a:xfrm>
              <a:off x="545020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6</a:t>
              </a:r>
            </a:p>
          </xdr:txBody>
        </xdr:sp>
        <xdr:sp macro="" textlink="">
          <xdr:nvSpPr>
            <xdr:cNvPr id="47" name="Rectangle 4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665B77F7-30E8-4567-AA3F-BF8C3DFB2FB2}"/>
                </a:ext>
              </a:extLst>
            </xdr:cNvPr>
            <xdr:cNvSpPr/>
          </xdr:nvSpPr>
          <xdr:spPr>
            <a:xfrm>
              <a:off x="617601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7</a:t>
              </a:r>
            </a:p>
          </xdr:txBody>
        </xdr:sp>
        <xdr:sp macro="" textlink="">
          <xdr:nvSpPr>
            <xdr:cNvPr id="48" name="Rectangle 4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98FB484E-AFF9-423D-A85D-D28DCF1A6FE6}"/>
                </a:ext>
              </a:extLst>
            </xdr:cNvPr>
            <xdr:cNvSpPr/>
          </xdr:nvSpPr>
          <xdr:spPr>
            <a:xfrm>
              <a:off x="690181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8</a:t>
              </a:r>
            </a:p>
          </xdr:txBody>
        </xdr:sp>
        <xdr:sp macro="" textlink="">
          <xdr:nvSpPr>
            <xdr:cNvPr id="49" name="Rectangle 48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9545A34-5576-4A89-B3A2-249CBBC08508}"/>
                </a:ext>
              </a:extLst>
            </xdr:cNvPr>
            <xdr:cNvSpPr/>
          </xdr:nvSpPr>
          <xdr:spPr>
            <a:xfrm>
              <a:off x="762762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9</a:t>
              </a:r>
            </a:p>
          </xdr:txBody>
        </xdr:sp>
      </xdr:grp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7598C564-F9D2-46A9-80A3-99AD737E4F74}"/>
              </a:ext>
            </a:extLst>
          </xdr:cNvPr>
          <xdr:cNvSpPr txBox="1"/>
        </xdr:nvSpPr>
        <xdr:spPr>
          <a:xfrm>
            <a:off x="1226820" y="121920"/>
            <a:ext cx="1463040" cy="2514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i="1">
                <a:solidFill>
                  <a:schemeClr val="bg1"/>
                </a:solidFill>
              </a:rPr>
              <a:t>@Copyright</a:t>
            </a:r>
            <a:r>
              <a:rPr lang="en-US" sz="1000" i="1" baseline="0">
                <a:solidFill>
                  <a:schemeClr val="bg1"/>
                </a:solidFill>
              </a:rPr>
              <a:t> by MJK</a:t>
            </a:r>
            <a:endParaRPr lang="vi-VN" sz="1000" i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74</xdr:col>
      <xdr:colOff>601980</xdr:colOff>
      <xdr:row>3</xdr:row>
      <xdr:rowOff>18270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AAE7E8D1-184A-407B-8CF2-632CBBC86EAE}"/>
            </a:ext>
          </a:extLst>
        </xdr:cNvPr>
        <xdr:cNvGrpSpPr/>
      </xdr:nvGrpSpPr>
      <xdr:grpSpPr>
        <a:xfrm>
          <a:off x="0" y="0"/>
          <a:ext cx="22075140" cy="566910"/>
          <a:chOff x="0" y="0"/>
          <a:chExt cx="22075140" cy="544050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D94BABD2-9FAD-4238-BDE7-C37A0DB136D2}"/>
              </a:ext>
            </a:extLst>
          </xdr:cNvPr>
          <xdr:cNvGrpSpPr/>
        </xdr:nvGrpSpPr>
        <xdr:grpSpPr>
          <a:xfrm>
            <a:off x="0" y="0"/>
            <a:ext cx="22075140" cy="544050"/>
            <a:chOff x="0" y="0"/>
            <a:chExt cx="22075140" cy="544050"/>
          </a:xfrm>
        </xdr:grpSpPr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EDAF80DE-771D-497F-BC96-79AF43980392}"/>
                </a:ext>
              </a:extLst>
            </xdr:cNvPr>
            <xdr:cNvSpPr/>
          </xdr:nvSpPr>
          <xdr:spPr>
            <a:xfrm>
              <a:off x="0" y="182880"/>
              <a:ext cx="22075140" cy="3600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35CA74B6-5409-4C6C-9E39-441AC8EFA27C}"/>
                </a:ext>
              </a:extLst>
            </xdr:cNvPr>
            <xdr:cNvSpPr/>
          </xdr:nvSpPr>
          <xdr:spPr>
            <a:xfrm>
              <a:off x="0" y="0"/>
              <a:ext cx="22075140" cy="360000"/>
            </a:xfrm>
            <a:prstGeom prst="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pic>
          <xdr:nvPicPr>
            <xdr:cNvPr id="30" name="Picture 29">
              <a:extLst>
                <a:ext uri="{FF2B5EF4-FFF2-40B4-BE49-F238E27FC236}">
                  <a16:creationId xmlns:a16="http://schemas.microsoft.com/office/drawing/2014/main" id="{99EDAA7C-1111-40DB-8FD6-B1DF82EF12A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41021" y="18000"/>
              <a:ext cx="324000" cy="324000"/>
            </a:xfrm>
            <a:prstGeom prst="rect">
              <a:avLst/>
            </a:prstGeom>
          </xdr:spPr>
        </xdr:pic>
        <xdr:pic>
          <xdr:nvPicPr>
            <xdr:cNvPr id="31" name="Picture 30">
              <a:extLst>
                <a:ext uri="{FF2B5EF4-FFF2-40B4-BE49-F238E27FC236}">
                  <a16:creationId xmlns:a16="http://schemas.microsoft.com/office/drawing/2014/main" id="{1B06DB9A-8F53-45DD-AE54-8D969E6E696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6780" y="18000"/>
              <a:ext cx="324000" cy="324000"/>
            </a:xfrm>
            <a:prstGeom prst="rect">
              <a:avLst/>
            </a:prstGeom>
          </xdr:spPr>
        </xdr:pic>
        <xdr:sp macro="" textlink="">
          <xdr:nvSpPr>
            <xdr:cNvPr id="32" name="Rectangle 3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B3B8D09D-F034-4D29-A0EE-78AD4FB4E1E5}"/>
                </a:ext>
              </a:extLst>
            </xdr:cNvPr>
            <xdr:cNvSpPr/>
          </xdr:nvSpPr>
          <xdr:spPr>
            <a:xfrm>
              <a:off x="321564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HOME</a:t>
              </a:r>
            </a:p>
          </xdr:txBody>
        </xdr:sp>
        <xdr:sp macro="" textlink="">
          <xdr:nvSpPr>
            <xdr:cNvPr id="33" name="Rectangle 3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F59F9252-48A6-4125-BEA0-03BA9B3BF9A5}"/>
                </a:ext>
              </a:extLst>
            </xdr:cNvPr>
            <xdr:cNvSpPr/>
          </xdr:nvSpPr>
          <xdr:spPr>
            <a:xfrm>
              <a:off x="4200144" y="156210"/>
              <a:ext cx="972000" cy="1905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>
                  <a:solidFill>
                    <a:srgbClr val="002060"/>
                  </a:solidFill>
                </a:rPr>
                <a:t>CHẤM</a:t>
              </a:r>
              <a:r>
                <a:rPr lang="en-US" sz="1100" b="1" baseline="0">
                  <a:solidFill>
                    <a:srgbClr val="002060"/>
                  </a:solidFill>
                </a:rPr>
                <a:t> CÔNG</a:t>
              </a:r>
            </a:p>
            <a:p>
              <a:pPr algn="ctr"/>
              <a:endParaRPr lang="en-US" sz="1100" b="1">
                <a:solidFill>
                  <a:srgbClr val="002060"/>
                </a:solidFill>
              </a:endParaRPr>
            </a:p>
          </xdr:txBody>
        </xdr:sp>
        <xdr:sp macro="" textlink="">
          <xdr:nvSpPr>
            <xdr:cNvPr id="34" name="Rectangle 3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3734F0C0-D81B-4CAC-80C4-31AEC61BA1FA}"/>
                </a:ext>
              </a:extLst>
            </xdr:cNvPr>
            <xdr:cNvSpPr/>
          </xdr:nvSpPr>
          <xdr:spPr>
            <a:xfrm>
              <a:off x="5184648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BÁO</a:t>
              </a:r>
              <a:r>
                <a:rPr lang="en-US" sz="1100" b="1" baseline="0"/>
                <a:t> CÁO</a:t>
              </a:r>
              <a:endParaRPr lang="en-US" sz="1100" b="1"/>
            </a:p>
          </xdr:txBody>
        </xdr:sp>
        <xdr:sp macro="" textlink="">
          <xdr:nvSpPr>
            <xdr:cNvPr id="35" name="Rectangle 3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7BBAF33B-3C7F-4A37-AD5E-761336104007}"/>
                </a:ext>
              </a:extLst>
            </xdr:cNvPr>
            <xdr:cNvSpPr/>
          </xdr:nvSpPr>
          <xdr:spPr>
            <a:xfrm>
              <a:off x="6169152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B.</a:t>
              </a:r>
              <a:r>
                <a:rPr lang="en-US" sz="1100" b="1" baseline="0"/>
                <a:t> LƯƠNG</a:t>
              </a:r>
              <a:endParaRPr lang="en-US" sz="1100" b="1"/>
            </a:p>
          </xdr:txBody>
        </xdr:sp>
        <xdr:sp macro="" textlink="">
          <xdr:nvSpPr>
            <xdr:cNvPr id="36" name="Rectangle 3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E67D6279-A5D3-4F4D-8B25-B5336AE0D4F4}"/>
                </a:ext>
              </a:extLst>
            </xdr:cNvPr>
            <xdr:cNvSpPr/>
          </xdr:nvSpPr>
          <xdr:spPr>
            <a:xfrm>
              <a:off x="7153656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DS NV</a:t>
              </a:r>
            </a:p>
          </xdr:txBody>
        </xdr:sp>
        <xdr:sp macro="" textlink="">
          <xdr:nvSpPr>
            <xdr:cNvPr id="37" name="Rectangle 3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1D02DA79-0047-4192-80D4-4BAB647AA6B3}"/>
                </a:ext>
              </a:extLst>
            </xdr:cNvPr>
            <xdr:cNvSpPr/>
          </xdr:nvSpPr>
          <xdr:spPr>
            <a:xfrm>
              <a:off x="813816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CÀI</a:t>
              </a:r>
              <a:r>
                <a:rPr lang="en-US" sz="1100" b="1" baseline="0"/>
                <a:t> ĐẶT</a:t>
              </a:r>
              <a:endParaRPr lang="en-US" sz="1100" b="1"/>
            </a:p>
          </xdr:txBody>
        </xdr:sp>
        <xdr:sp macro="" textlink="">
          <xdr:nvSpPr>
            <xdr:cNvPr id="38" name="Rectangle 3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8254B2B0-A91D-429B-BC68-02E7FAED9198}"/>
                </a:ext>
              </a:extLst>
            </xdr:cNvPr>
            <xdr:cNvSpPr/>
          </xdr:nvSpPr>
          <xdr:spPr>
            <a:xfrm>
              <a:off x="327279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3</a:t>
              </a:r>
            </a:p>
          </xdr:txBody>
        </xdr:sp>
        <xdr:sp macro="" textlink="">
          <xdr:nvSpPr>
            <xdr:cNvPr id="39" name="Rectangle 3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753B8047-F896-4D94-A1E4-51999FF71E99}"/>
                </a:ext>
              </a:extLst>
            </xdr:cNvPr>
            <xdr:cNvSpPr/>
          </xdr:nvSpPr>
          <xdr:spPr>
            <a:xfrm>
              <a:off x="399859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4</a:t>
              </a:r>
            </a:p>
          </xdr:txBody>
        </xdr:sp>
        <xdr:sp macro="" textlink="">
          <xdr:nvSpPr>
            <xdr:cNvPr id="40" name="Rectangle 39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2E84A024-7646-4614-BCFD-62538507FF50}"/>
                </a:ext>
              </a:extLst>
            </xdr:cNvPr>
            <xdr:cNvSpPr/>
          </xdr:nvSpPr>
          <xdr:spPr>
            <a:xfrm>
              <a:off x="182118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</a:t>
              </a:r>
              <a:r>
                <a:rPr lang="en-US" sz="900" b="1" baseline="0"/>
                <a:t> 1</a:t>
              </a:r>
              <a:endParaRPr lang="en-US" sz="900" b="1"/>
            </a:p>
          </xdr:txBody>
        </xdr:sp>
        <xdr:sp macro="" textlink="">
          <xdr:nvSpPr>
            <xdr:cNvPr id="41" name="Rectangle 4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93E94169-5CAE-47AD-A57C-637FE2434CF9}"/>
                </a:ext>
              </a:extLst>
            </xdr:cNvPr>
            <xdr:cNvSpPr/>
          </xdr:nvSpPr>
          <xdr:spPr>
            <a:xfrm>
              <a:off x="980503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12</a:t>
              </a:r>
            </a:p>
          </xdr:txBody>
        </xdr:sp>
        <xdr:sp macro="" textlink="">
          <xdr:nvSpPr>
            <xdr:cNvPr id="42" name="Rectangle 4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6BFA16AE-7E56-4AE4-95F0-675936BD0F2F}"/>
                </a:ext>
              </a:extLst>
            </xdr:cNvPr>
            <xdr:cNvSpPr/>
          </xdr:nvSpPr>
          <xdr:spPr>
            <a:xfrm>
              <a:off x="254698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THÁNG</a:t>
              </a:r>
              <a:r>
                <a:rPr lang="en-US" sz="9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2</a:t>
              </a:r>
            </a:p>
          </xdr:txBody>
        </xdr:sp>
        <xdr:sp macro="" textlink="">
          <xdr:nvSpPr>
            <xdr:cNvPr id="43" name="Rectangle 42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1087F27D-E44D-4AAA-AB16-4BCBE8521EB2}"/>
                </a:ext>
              </a:extLst>
            </xdr:cNvPr>
            <xdr:cNvSpPr/>
          </xdr:nvSpPr>
          <xdr:spPr>
            <a:xfrm>
              <a:off x="4724400" y="400050"/>
              <a:ext cx="720000" cy="144000"/>
            </a:xfrm>
            <a:prstGeom prst="rect">
              <a:avLst/>
            </a:prstGeom>
            <a:solidFill>
              <a:schemeClr val="bg1">
                <a:lumMod val="6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>
                  <a:solidFill>
                    <a:srgbClr val="FFFF00"/>
                  </a:solidFill>
                </a:rPr>
                <a:t>THÁNG 5</a:t>
              </a:r>
            </a:p>
          </xdr:txBody>
        </xdr:sp>
        <xdr:sp macro="" textlink="">
          <xdr:nvSpPr>
            <xdr:cNvPr id="44" name="Rectangle 43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8FF5CF42-C9C1-46D2-AC7C-EED46324878F}"/>
                </a:ext>
              </a:extLst>
            </xdr:cNvPr>
            <xdr:cNvSpPr/>
          </xdr:nvSpPr>
          <xdr:spPr>
            <a:xfrm>
              <a:off x="907923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11</a:t>
              </a:r>
            </a:p>
          </xdr:txBody>
        </xdr:sp>
        <xdr:sp macro="" textlink="">
          <xdr:nvSpPr>
            <xdr:cNvPr id="45" name="Rectangle 44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B68FF0A2-E18C-4808-A740-937D15165B78}"/>
                </a:ext>
              </a:extLst>
            </xdr:cNvPr>
            <xdr:cNvSpPr/>
          </xdr:nvSpPr>
          <xdr:spPr>
            <a:xfrm>
              <a:off x="835342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10</a:t>
              </a:r>
            </a:p>
          </xdr:txBody>
        </xdr:sp>
        <xdr:sp macro="" textlink="">
          <xdr:nvSpPr>
            <xdr:cNvPr id="46" name="Rectangle 45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4550BFF7-7DA3-468F-8762-0789CB9AFEE9}"/>
                </a:ext>
              </a:extLst>
            </xdr:cNvPr>
            <xdr:cNvSpPr/>
          </xdr:nvSpPr>
          <xdr:spPr>
            <a:xfrm>
              <a:off x="545020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6</a:t>
              </a:r>
            </a:p>
          </xdr:txBody>
        </xdr:sp>
        <xdr:sp macro="" textlink="">
          <xdr:nvSpPr>
            <xdr:cNvPr id="47" name="Rectangle 4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F84B34AF-894B-42AC-935E-01DF6628B150}"/>
                </a:ext>
              </a:extLst>
            </xdr:cNvPr>
            <xdr:cNvSpPr/>
          </xdr:nvSpPr>
          <xdr:spPr>
            <a:xfrm>
              <a:off x="617601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7</a:t>
              </a:r>
            </a:p>
          </xdr:txBody>
        </xdr:sp>
        <xdr:sp macro="" textlink="">
          <xdr:nvSpPr>
            <xdr:cNvPr id="48" name="Rectangle 4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319B21B2-B762-41C5-B222-6FBF796504AB}"/>
                </a:ext>
              </a:extLst>
            </xdr:cNvPr>
            <xdr:cNvSpPr/>
          </xdr:nvSpPr>
          <xdr:spPr>
            <a:xfrm>
              <a:off x="690181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8</a:t>
              </a:r>
            </a:p>
          </xdr:txBody>
        </xdr:sp>
        <xdr:sp macro="" textlink="">
          <xdr:nvSpPr>
            <xdr:cNvPr id="49" name="Rectangle 48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AA0D5F9-FA76-44AE-819B-346DC556BC36}"/>
                </a:ext>
              </a:extLst>
            </xdr:cNvPr>
            <xdr:cNvSpPr/>
          </xdr:nvSpPr>
          <xdr:spPr>
            <a:xfrm>
              <a:off x="762762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9</a:t>
              </a:r>
            </a:p>
          </xdr:txBody>
        </xdr:sp>
      </xdr:grp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A3566CF4-DDAA-4441-A8CE-656B29E44257}"/>
              </a:ext>
            </a:extLst>
          </xdr:cNvPr>
          <xdr:cNvSpPr txBox="1"/>
        </xdr:nvSpPr>
        <xdr:spPr>
          <a:xfrm>
            <a:off x="1226820" y="121920"/>
            <a:ext cx="1463040" cy="2514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i="1">
                <a:solidFill>
                  <a:schemeClr val="bg1"/>
                </a:solidFill>
              </a:rPr>
              <a:t>@Copyright</a:t>
            </a:r>
            <a:r>
              <a:rPr lang="en-US" sz="1000" i="1" baseline="0">
                <a:solidFill>
                  <a:schemeClr val="bg1"/>
                </a:solidFill>
              </a:rPr>
              <a:t> by MJK</a:t>
            </a:r>
            <a:endParaRPr lang="vi-VN" sz="1000" i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74</xdr:col>
      <xdr:colOff>601980</xdr:colOff>
      <xdr:row>3</xdr:row>
      <xdr:rowOff>18270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AA06A301-6B47-4F8E-A4B8-987D16CCFC51}"/>
            </a:ext>
          </a:extLst>
        </xdr:cNvPr>
        <xdr:cNvGrpSpPr/>
      </xdr:nvGrpSpPr>
      <xdr:grpSpPr>
        <a:xfrm>
          <a:off x="0" y="0"/>
          <a:ext cx="22075140" cy="566910"/>
          <a:chOff x="0" y="0"/>
          <a:chExt cx="22075140" cy="544050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C2A1C1C8-5021-4B13-8322-4B632F67DAC0}"/>
              </a:ext>
            </a:extLst>
          </xdr:cNvPr>
          <xdr:cNvGrpSpPr/>
        </xdr:nvGrpSpPr>
        <xdr:grpSpPr>
          <a:xfrm>
            <a:off x="0" y="0"/>
            <a:ext cx="22075140" cy="544050"/>
            <a:chOff x="0" y="0"/>
            <a:chExt cx="22075140" cy="544050"/>
          </a:xfrm>
        </xdr:grpSpPr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58734CC6-4AA8-4D41-8E2D-B517687E077C}"/>
                </a:ext>
              </a:extLst>
            </xdr:cNvPr>
            <xdr:cNvSpPr/>
          </xdr:nvSpPr>
          <xdr:spPr>
            <a:xfrm>
              <a:off x="0" y="182880"/>
              <a:ext cx="22075140" cy="3600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302DF301-3D7B-4F91-BE3B-54A868FE5F05}"/>
                </a:ext>
              </a:extLst>
            </xdr:cNvPr>
            <xdr:cNvSpPr/>
          </xdr:nvSpPr>
          <xdr:spPr>
            <a:xfrm>
              <a:off x="0" y="0"/>
              <a:ext cx="22075140" cy="360000"/>
            </a:xfrm>
            <a:prstGeom prst="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pic>
          <xdr:nvPicPr>
            <xdr:cNvPr id="30" name="Picture 29">
              <a:extLst>
                <a:ext uri="{FF2B5EF4-FFF2-40B4-BE49-F238E27FC236}">
                  <a16:creationId xmlns:a16="http://schemas.microsoft.com/office/drawing/2014/main" id="{E684824E-052E-4C9C-87A4-93693F253CA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41021" y="18000"/>
              <a:ext cx="324000" cy="324000"/>
            </a:xfrm>
            <a:prstGeom prst="rect">
              <a:avLst/>
            </a:prstGeom>
          </xdr:spPr>
        </xdr:pic>
        <xdr:pic>
          <xdr:nvPicPr>
            <xdr:cNvPr id="31" name="Picture 30">
              <a:extLst>
                <a:ext uri="{FF2B5EF4-FFF2-40B4-BE49-F238E27FC236}">
                  <a16:creationId xmlns:a16="http://schemas.microsoft.com/office/drawing/2014/main" id="{3764412E-780E-4D72-818A-62C73AF245E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6780" y="18000"/>
              <a:ext cx="324000" cy="324000"/>
            </a:xfrm>
            <a:prstGeom prst="rect">
              <a:avLst/>
            </a:prstGeom>
          </xdr:spPr>
        </xdr:pic>
        <xdr:sp macro="" textlink="">
          <xdr:nvSpPr>
            <xdr:cNvPr id="32" name="Rectangle 3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775455C6-E5B3-4EE4-9993-89A8D2622E7F}"/>
                </a:ext>
              </a:extLst>
            </xdr:cNvPr>
            <xdr:cNvSpPr/>
          </xdr:nvSpPr>
          <xdr:spPr>
            <a:xfrm>
              <a:off x="321564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HOME</a:t>
              </a:r>
            </a:p>
          </xdr:txBody>
        </xdr:sp>
        <xdr:sp macro="" textlink="">
          <xdr:nvSpPr>
            <xdr:cNvPr id="33" name="Rectangle 3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5D8F6E41-B9B8-4A8A-A888-154EE7E4416B}"/>
                </a:ext>
              </a:extLst>
            </xdr:cNvPr>
            <xdr:cNvSpPr/>
          </xdr:nvSpPr>
          <xdr:spPr>
            <a:xfrm>
              <a:off x="4200144" y="156210"/>
              <a:ext cx="972000" cy="1905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>
                  <a:solidFill>
                    <a:srgbClr val="002060"/>
                  </a:solidFill>
                </a:rPr>
                <a:t>CHẤM</a:t>
              </a:r>
              <a:r>
                <a:rPr lang="en-US" sz="1100" b="1" baseline="0">
                  <a:solidFill>
                    <a:srgbClr val="002060"/>
                  </a:solidFill>
                </a:rPr>
                <a:t> CÔNG</a:t>
              </a:r>
            </a:p>
            <a:p>
              <a:pPr algn="ctr"/>
              <a:endParaRPr lang="en-US" sz="1100" b="1">
                <a:solidFill>
                  <a:srgbClr val="002060"/>
                </a:solidFill>
              </a:endParaRPr>
            </a:p>
          </xdr:txBody>
        </xdr:sp>
        <xdr:sp macro="" textlink="">
          <xdr:nvSpPr>
            <xdr:cNvPr id="34" name="Rectangle 3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CEF26093-3D81-4CD6-9CDD-8DBD57B9A503}"/>
                </a:ext>
              </a:extLst>
            </xdr:cNvPr>
            <xdr:cNvSpPr/>
          </xdr:nvSpPr>
          <xdr:spPr>
            <a:xfrm>
              <a:off x="5184648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BÁO</a:t>
              </a:r>
              <a:r>
                <a:rPr lang="en-US" sz="1100" b="1" baseline="0"/>
                <a:t> CÁO</a:t>
              </a:r>
              <a:endParaRPr lang="en-US" sz="1100" b="1"/>
            </a:p>
          </xdr:txBody>
        </xdr:sp>
        <xdr:sp macro="" textlink="">
          <xdr:nvSpPr>
            <xdr:cNvPr id="35" name="Rectangle 3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234C90FA-B0F2-4ACB-82A6-50DC57016F04}"/>
                </a:ext>
              </a:extLst>
            </xdr:cNvPr>
            <xdr:cNvSpPr/>
          </xdr:nvSpPr>
          <xdr:spPr>
            <a:xfrm>
              <a:off x="6169152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B.</a:t>
              </a:r>
              <a:r>
                <a:rPr lang="en-US" sz="1100" b="1" baseline="0"/>
                <a:t> LƯƠNG</a:t>
              </a:r>
              <a:endParaRPr lang="en-US" sz="1100" b="1"/>
            </a:p>
          </xdr:txBody>
        </xdr:sp>
        <xdr:sp macro="" textlink="">
          <xdr:nvSpPr>
            <xdr:cNvPr id="36" name="Rectangle 3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135C1B2C-89FB-4432-ACCA-8FFA4302B1B6}"/>
                </a:ext>
              </a:extLst>
            </xdr:cNvPr>
            <xdr:cNvSpPr/>
          </xdr:nvSpPr>
          <xdr:spPr>
            <a:xfrm>
              <a:off x="7153656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DS NV</a:t>
              </a:r>
            </a:p>
          </xdr:txBody>
        </xdr:sp>
        <xdr:sp macro="" textlink="">
          <xdr:nvSpPr>
            <xdr:cNvPr id="37" name="Rectangle 3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5626072D-4F8C-404F-8D69-3B2E1884A21B}"/>
                </a:ext>
              </a:extLst>
            </xdr:cNvPr>
            <xdr:cNvSpPr/>
          </xdr:nvSpPr>
          <xdr:spPr>
            <a:xfrm>
              <a:off x="813816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CÀI</a:t>
              </a:r>
              <a:r>
                <a:rPr lang="en-US" sz="1100" b="1" baseline="0"/>
                <a:t> ĐẶT</a:t>
              </a:r>
              <a:endParaRPr lang="en-US" sz="1100" b="1"/>
            </a:p>
          </xdr:txBody>
        </xdr:sp>
        <xdr:sp macro="" textlink="">
          <xdr:nvSpPr>
            <xdr:cNvPr id="38" name="Rectangle 3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DE86F6C8-781C-47F5-9654-3DD9E30CC9EA}"/>
                </a:ext>
              </a:extLst>
            </xdr:cNvPr>
            <xdr:cNvSpPr/>
          </xdr:nvSpPr>
          <xdr:spPr>
            <a:xfrm>
              <a:off x="327279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3</a:t>
              </a:r>
            </a:p>
          </xdr:txBody>
        </xdr:sp>
        <xdr:sp macro="" textlink="">
          <xdr:nvSpPr>
            <xdr:cNvPr id="39" name="Rectangle 3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43D802CE-9A90-49D0-A790-DC4969E888D5}"/>
                </a:ext>
              </a:extLst>
            </xdr:cNvPr>
            <xdr:cNvSpPr/>
          </xdr:nvSpPr>
          <xdr:spPr>
            <a:xfrm>
              <a:off x="399859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4</a:t>
              </a:r>
            </a:p>
          </xdr:txBody>
        </xdr:sp>
        <xdr:sp macro="" textlink="">
          <xdr:nvSpPr>
            <xdr:cNvPr id="40" name="Rectangle 39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487DF9C6-96E2-4496-B21C-0DBC0A7E3F0B}"/>
                </a:ext>
              </a:extLst>
            </xdr:cNvPr>
            <xdr:cNvSpPr/>
          </xdr:nvSpPr>
          <xdr:spPr>
            <a:xfrm>
              <a:off x="182118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</a:t>
              </a:r>
              <a:r>
                <a:rPr lang="en-US" sz="900" b="1" baseline="0"/>
                <a:t> 1</a:t>
              </a:r>
              <a:endParaRPr lang="en-US" sz="900" b="1"/>
            </a:p>
          </xdr:txBody>
        </xdr:sp>
        <xdr:sp macro="" textlink="">
          <xdr:nvSpPr>
            <xdr:cNvPr id="41" name="Rectangle 4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7F7C8A6D-6FE5-43E5-AAD8-87FC16F47929}"/>
                </a:ext>
              </a:extLst>
            </xdr:cNvPr>
            <xdr:cNvSpPr/>
          </xdr:nvSpPr>
          <xdr:spPr>
            <a:xfrm>
              <a:off x="980503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12</a:t>
              </a:r>
            </a:p>
          </xdr:txBody>
        </xdr:sp>
        <xdr:sp macro="" textlink="">
          <xdr:nvSpPr>
            <xdr:cNvPr id="42" name="Rectangle 4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6B51BBCB-E799-4015-8191-F225BEF2DB86}"/>
                </a:ext>
              </a:extLst>
            </xdr:cNvPr>
            <xdr:cNvSpPr/>
          </xdr:nvSpPr>
          <xdr:spPr>
            <a:xfrm>
              <a:off x="254698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THÁNG</a:t>
              </a:r>
              <a:r>
                <a:rPr lang="en-US" sz="9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2</a:t>
              </a:r>
            </a:p>
          </xdr:txBody>
        </xdr:sp>
        <xdr:sp macro="" textlink="">
          <xdr:nvSpPr>
            <xdr:cNvPr id="43" name="Rectangle 42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7C09610C-47DB-4181-AEC4-5F14E04FF85C}"/>
                </a:ext>
              </a:extLst>
            </xdr:cNvPr>
            <xdr:cNvSpPr/>
          </xdr:nvSpPr>
          <xdr:spPr>
            <a:xfrm>
              <a:off x="472440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5</a:t>
              </a:r>
            </a:p>
          </xdr:txBody>
        </xdr:sp>
        <xdr:sp macro="" textlink="">
          <xdr:nvSpPr>
            <xdr:cNvPr id="44" name="Rectangle 43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F9DB2761-D4EA-42F7-9D7D-4C76C477026E}"/>
                </a:ext>
              </a:extLst>
            </xdr:cNvPr>
            <xdr:cNvSpPr/>
          </xdr:nvSpPr>
          <xdr:spPr>
            <a:xfrm>
              <a:off x="907923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11</a:t>
              </a:r>
            </a:p>
          </xdr:txBody>
        </xdr:sp>
        <xdr:sp macro="" textlink="">
          <xdr:nvSpPr>
            <xdr:cNvPr id="45" name="Rectangle 44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B2A482C-8EED-47AD-989C-F485FF025F2A}"/>
                </a:ext>
              </a:extLst>
            </xdr:cNvPr>
            <xdr:cNvSpPr/>
          </xdr:nvSpPr>
          <xdr:spPr>
            <a:xfrm>
              <a:off x="835342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10</a:t>
              </a:r>
            </a:p>
          </xdr:txBody>
        </xdr:sp>
        <xdr:sp macro="" textlink="">
          <xdr:nvSpPr>
            <xdr:cNvPr id="46" name="Rectangle 45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729F7239-380E-4059-9418-F4E4410F2D46}"/>
                </a:ext>
              </a:extLst>
            </xdr:cNvPr>
            <xdr:cNvSpPr/>
          </xdr:nvSpPr>
          <xdr:spPr>
            <a:xfrm>
              <a:off x="5450205" y="400050"/>
              <a:ext cx="720000" cy="144000"/>
            </a:xfrm>
            <a:prstGeom prst="rect">
              <a:avLst/>
            </a:prstGeom>
            <a:solidFill>
              <a:schemeClr val="bg1">
                <a:lumMod val="6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>
                  <a:solidFill>
                    <a:srgbClr val="FFFF00"/>
                  </a:solidFill>
                </a:rPr>
                <a:t>THÁNG 6</a:t>
              </a:r>
            </a:p>
          </xdr:txBody>
        </xdr:sp>
        <xdr:sp macro="" textlink="">
          <xdr:nvSpPr>
            <xdr:cNvPr id="47" name="Rectangle 4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CB04F89A-7B1F-4779-A8FD-25D50360ADB1}"/>
                </a:ext>
              </a:extLst>
            </xdr:cNvPr>
            <xdr:cNvSpPr/>
          </xdr:nvSpPr>
          <xdr:spPr>
            <a:xfrm>
              <a:off x="617601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7</a:t>
              </a:r>
            </a:p>
          </xdr:txBody>
        </xdr:sp>
        <xdr:sp macro="" textlink="">
          <xdr:nvSpPr>
            <xdr:cNvPr id="48" name="Rectangle 4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53053A21-6081-4ABB-81B1-EB0D61853FED}"/>
                </a:ext>
              </a:extLst>
            </xdr:cNvPr>
            <xdr:cNvSpPr/>
          </xdr:nvSpPr>
          <xdr:spPr>
            <a:xfrm>
              <a:off x="690181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8</a:t>
              </a:r>
            </a:p>
          </xdr:txBody>
        </xdr:sp>
        <xdr:sp macro="" textlink="">
          <xdr:nvSpPr>
            <xdr:cNvPr id="49" name="Rectangle 48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4F6487B8-F58B-4791-A279-3C220E91ADA6}"/>
                </a:ext>
              </a:extLst>
            </xdr:cNvPr>
            <xdr:cNvSpPr/>
          </xdr:nvSpPr>
          <xdr:spPr>
            <a:xfrm>
              <a:off x="762762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9</a:t>
              </a:r>
            </a:p>
          </xdr:txBody>
        </xdr:sp>
      </xdr:grp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7AE9CD88-F8F2-4A3A-A6FE-29A23F5DA949}"/>
              </a:ext>
            </a:extLst>
          </xdr:cNvPr>
          <xdr:cNvSpPr txBox="1"/>
        </xdr:nvSpPr>
        <xdr:spPr>
          <a:xfrm>
            <a:off x="1226820" y="121920"/>
            <a:ext cx="1463040" cy="2514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i="1">
                <a:solidFill>
                  <a:schemeClr val="bg1"/>
                </a:solidFill>
              </a:rPr>
              <a:t>@Copyright</a:t>
            </a:r>
            <a:r>
              <a:rPr lang="en-US" sz="1000" i="1" baseline="0">
                <a:solidFill>
                  <a:schemeClr val="bg1"/>
                </a:solidFill>
              </a:rPr>
              <a:t> by MJK</a:t>
            </a:r>
            <a:endParaRPr lang="vi-VN" sz="1000" i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74</xdr:col>
      <xdr:colOff>601980</xdr:colOff>
      <xdr:row>3</xdr:row>
      <xdr:rowOff>18270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B5BFA330-A542-4CE6-B97E-4D35CA9FBB4A}"/>
            </a:ext>
          </a:extLst>
        </xdr:cNvPr>
        <xdr:cNvGrpSpPr/>
      </xdr:nvGrpSpPr>
      <xdr:grpSpPr>
        <a:xfrm>
          <a:off x="0" y="0"/>
          <a:ext cx="22075140" cy="566910"/>
          <a:chOff x="0" y="0"/>
          <a:chExt cx="22075140" cy="544050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C1A18CEA-1E91-4975-AA96-983C3F8A99E1}"/>
              </a:ext>
            </a:extLst>
          </xdr:cNvPr>
          <xdr:cNvGrpSpPr/>
        </xdr:nvGrpSpPr>
        <xdr:grpSpPr>
          <a:xfrm>
            <a:off x="0" y="0"/>
            <a:ext cx="22075140" cy="544050"/>
            <a:chOff x="0" y="0"/>
            <a:chExt cx="22075140" cy="544050"/>
          </a:xfrm>
        </xdr:grpSpPr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BE2604F7-F0D2-4EAC-A68A-5896D3F04553}"/>
                </a:ext>
              </a:extLst>
            </xdr:cNvPr>
            <xdr:cNvSpPr/>
          </xdr:nvSpPr>
          <xdr:spPr>
            <a:xfrm>
              <a:off x="0" y="182880"/>
              <a:ext cx="22075140" cy="3600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91FBF985-ECE1-4BB4-8724-9424CE3749D9}"/>
                </a:ext>
              </a:extLst>
            </xdr:cNvPr>
            <xdr:cNvSpPr/>
          </xdr:nvSpPr>
          <xdr:spPr>
            <a:xfrm>
              <a:off x="0" y="0"/>
              <a:ext cx="22075140" cy="360000"/>
            </a:xfrm>
            <a:prstGeom prst="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pic>
          <xdr:nvPicPr>
            <xdr:cNvPr id="30" name="Picture 29">
              <a:extLst>
                <a:ext uri="{FF2B5EF4-FFF2-40B4-BE49-F238E27FC236}">
                  <a16:creationId xmlns:a16="http://schemas.microsoft.com/office/drawing/2014/main" id="{EB15E1B4-49D3-483E-90A1-750C678890D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41021" y="18000"/>
              <a:ext cx="324000" cy="324000"/>
            </a:xfrm>
            <a:prstGeom prst="rect">
              <a:avLst/>
            </a:prstGeom>
          </xdr:spPr>
        </xdr:pic>
        <xdr:pic>
          <xdr:nvPicPr>
            <xdr:cNvPr id="31" name="Picture 30">
              <a:extLst>
                <a:ext uri="{FF2B5EF4-FFF2-40B4-BE49-F238E27FC236}">
                  <a16:creationId xmlns:a16="http://schemas.microsoft.com/office/drawing/2014/main" id="{CBE7A062-0C46-4E9A-AD09-6D73A7D3A30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6780" y="18000"/>
              <a:ext cx="324000" cy="324000"/>
            </a:xfrm>
            <a:prstGeom prst="rect">
              <a:avLst/>
            </a:prstGeom>
          </xdr:spPr>
        </xdr:pic>
        <xdr:sp macro="" textlink="">
          <xdr:nvSpPr>
            <xdr:cNvPr id="32" name="Rectangle 3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1C6646B1-9F88-4BBC-8BD3-CA8010746CD3}"/>
                </a:ext>
              </a:extLst>
            </xdr:cNvPr>
            <xdr:cNvSpPr/>
          </xdr:nvSpPr>
          <xdr:spPr>
            <a:xfrm>
              <a:off x="321564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HOME</a:t>
              </a:r>
            </a:p>
          </xdr:txBody>
        </xdr:sp>
        <xdr:sp macro="" textlink="">
          <xdr:nvSpPr>
            <xdr:cNvPr id="33" name="Rectangle 3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E4D3AC1E-422F-474A-84EC-F9810C3BBC3D}"/>
                </a:ext>
              </a:extLst>
            </xdr:cNvPr>
            <xdr:cNvSpPr/>
          </xdr:nvSpPr>
          <xdr:spPr>
            <a:xfrm>
              <a:off x="4200144" y="156210"/>
              <a:ext cx="972000" cy="1905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>
                  <a:solidFill>
                    <a:srgbClr val="002060"/>
                  </a:solidFill>
                </a:rPr>
                <a:t>CHẤM</a:t>
              </a:r>
              <a:r>
                <a:rPr lang="en-US" sz="1100" b="1" baseline="0">
                  <a:solidFill>
                    <a:srgbClr val="002060"/>
                  </a:solidFill>
                </a:rPr>
                <a:t> CÔNG</a:t>
              </a:r>
            </a:p>
            <a:p>
              <a:pPr algn="ctr"/>
              <a:endParaRPr lang="en-US" sz="1100" b="1">
                <a:solidFill>
                  <a:srgbClr val="002060"/>
                </a:solidFill>
              </a:endParaRPr>
            </a:p>
          </xdr:txBody>
        </xdr:sp>
        <xdr:sp macro="" textlink="">
          <xdr:nvSpPr>
            <xdr:cNvPr id="34" name="Rectangle 3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D8D1BC7-082E-43D8-A535-D58266DC863F}"/>
                </a:ext>
              </a:extLst>
            </xdr:cNvPr>
            <xdr:cNvSpPr/>
          </xdr:nvSpPr>
          <xdr:spPr>
            <a:xfrm>
              <a:off x="5184648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BÁO</a:t>
              </a:r>
              <a:r>
                <a:rPr lang="en-US" sz="1100" b="1" baseline="0"/>
                <a:t> CÁO</a:t>
              </a:r>
              <a:endParaRPr lang="en-US" sz="1100" b="1"/>
            </a:p>
          </xdr:txBody>
        </xdr:sp>
        <xdr:sp macro="" textlink="">
          <xdr:nvSpPr>
            <xdr:cNvPr id="35" name="Rectangle 3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9BBABC18-D312-4C64-8657-11D2D32C18BC}"/>
                </a:ext>
              </a:extLst>
            </xdr:cNvPr>
            <xdr:cNvSpPr/>
          </xdr:nvSpPr>
          <xdr:spPr>
            <a:xfrm>
              <a:off x="6169152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B.</a:t>
              </a:r>
              <a:r>
                <a:rPr lang="en-US" sz="1100" b="1" baseline="0"/>
                <a:t> LƯƠNG</a:t>
              </a:r>
              <a:endParaRPr lang="en-US" sz="1100" b="1"/>
            </a:p>
          </xdr:txBody>
        </xdr:sp>
        <xdr:sp macro="" textlink="">
          <xdr:nvSpPr>
            <xdr:cNvPr id="36" name="Rectangle 3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D109088C-28D1-44BA-A5CE-06CB463F7704}"/>
                </a:ext>
              </a:extLst>
            </xdr:cNvPr>
            <xdr:cNvSpPr/>
          </xdr:nvSpPr>
          <xdr:spPr>
            <a:xfrm>
              <a:off x="7153656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DS NV</a:t>
              </a:r>
            </a:p>
          </xdr:txBody>
        </xdr:sp>
        <xdr:sp macro="" textlink="">
          <xdr:nvSpPr>
            <xdr:cNvPr id="37" name="Rectangle 3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618C9825-AEFA-4064-850F-C61D9D30CA54}"/>
                </a:ext>
              </a:extLst>
            </xdr:cNvPr>
            <xdr:cNvSpPr/>
          </xdr:nvSpPr>
          <xdr:spPr>
            <a:xfrm>
              <a:off x="813816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CÀI</a:t>
              </a:r>
              <a:r>
                <a:rPr lang="en-US" sz="1100" b="1" baseline="0"/>
                <a:t> ĐẶT</a:t>
              </a:r>
              <a:endParaRPr lang="en-US" sz="1100" b="1"/>
            </a:p>
          </xdr:txBody>
        </xdr:sp>
        <xdr:sp macro="" textlink="">
          <xdr:nvSpPr>
            <xdr:cNvPr id="38" name="Rectangle 3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DE62D9A9-89EE-4387-9EA5-359A2742F732}"/>
                </a:ext>
              </a:extLst>
            </xdr:cNvPr>
            <xdr:cNvSpPr/>
          </xdr:nvSpPr>
          <xdr:spPr>
            <a:xfrm>
              <a:off x="327279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3</a:t>
              </a:r>
            </a:p>
          </xdr:txBody>
        </xdr:sp>
        <xdr:sp macro="" textlink="">
          <xdr:nvSpPr>
            <xdr:cNvPr id="39" name="Rectangle 3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20635CA5-D41F-405F-B9EB-5AF2C689B15A}"/>
                </a:ext>
              </a:extLst>
            </xdr:cNvPr>
            <xdr:cNvSpPr/>
          </xdr:nvSpPr>
          <xdr:spPr>
            <a:xfrm>
              <a:off x="399859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4</a:t>
              </a:r>
            </a:p>
          </xdr:txBody>
        </xdr:sp>
        <xdr:sp macro="" textlink="">
          <xdr:nvSpPr>
            <xdr:cNvPr id="40" name="Rectangle 39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20E018FE-1F28-4618-A476-8D4A5A40230F}"/>
                </a:ext>
              </a:extLst>
            </xdr:cNvPr>
            <xdr:cNvSpPr/>
          </xdr:nvSpPr>
          <xdr:spPr>
            <a:xfrm>
              <a:off x="182118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</a:t>
              </a:r>
              <a:r>
                <a:rPr lang="en-US" sz="900" b="1" baseline="0"/>
                <a:t> 1</a:t>
              </a:r>
              <a:endParaRPr lang="en-US" sz="900" b="1"/>
            </a:p>
          </xdr:txBody>
        </xdr:sp>
        <xdr:sp macro="" textlink="">
          <xdr:nvSpPr>
            <xdr:cNvPr id="41" name="Rectangle 4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43CAA682-F204-490D-8443-4B48436E32EC}"/>
                </a:ext>
              </a:extLst>
            </xdr:cNvPr>
            <xdr:cNvSpPr/>
          </xdr:nvSpPr>
          <xdr:spPr>
            <a:xfrm>
              <a:off x="980503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12</a:t>
              </a:r>
            </a:p>
          </xdr:txBody>
        </xdr:sp>
        <xdr:sp macro="" textlink="">
          <xdr:nvSpPr>
            <xdr:cNvPr id="42" name="Rectangle 4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10F3EE4E-C33C-4BD8-9045-E2B5C7344812}"/>
                </a:ext>
              </a:extLst>
            </xdr:cNvPr>
            <xdr:cNvSpPr/>
          </xdr:nvSpPr>
          <xdr:spPr>
            <a:xfrm>
              <a:off x="254698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THÁNG</a:t>
              </a:r>
              <a:r>
                <a:rPr lang="en-US" sz="9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2</a:t>
              </a:r>
            </a:p>
          </xdr:txBody>
        </xdr:sp>
        <xdr:sp macro="" textlink="">
          <xdr:nvSpPr>
            <xdr:cNvPr id="43" name="Rectangle 42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658DD7FF-0712-41BA-9983-74010C801794}"/>
                </a:ext>
              </a:extLst>
            </xdr:cNvPr>
            <xdr:cNvSpPr/>
          </xdr:nvSpPr>
          <xdr:spPr>
            <a:xfrm>
              <a:off x="472440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5</a:t>
              </a:r>
            </a:p>
          </xdr:txBody>
        </xdr:sp>
        <xdr:sp macro="" textlink="">
          <xdr:nvSpPr>
            <xdr:cNvPr id="44" name="Rectangle 43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6B15D76B-759B-4926-B5FA-60046B8F766F}"/>
                </a:ext>
              </a:extLst>
            </xdr:cNvPr>
            <xdr:cNvSpPr/>
          </xdr:nvSpPr>
          <xdr:spPr>
            <a:xfrm>
              <a:off x="907923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11</a:t>
              </a:r>
            </a:p>
          </xdr:txBody>
        </xdr:sp>
        <xdr:sp macro="" textlink="">
          <xdr:nvSpPr>
            <xdr:cNvPr id="45" name="Rectangle 44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BBFCCAEC-5D20-44C6-AC3C-4F91728AE27C}"/>
                </a:ext>
              </a:extLst>
            </xdr:cNvPr>
            <xdr:cNvSpPr/>
          </xdr:nvSpPr>
          <xdr:spPr>
            <a:xfrm>
              <a:off x="835342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10</a:t>
              </a:r>
            </a:p>
          </xdr:txBody>
        </xdr:sp>
        <xdr:sp macro="" textlink="">
          <xdr:nvSpPr>
            <xdr:cNvPr id="46" name="Rectangle 45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6715CE2E-DEDD-4637-A0A6-4E7B9121DC0A}"/>
                </a:ext>
              </a:extLst>
            </xdr:cNvPr>
            <xdr:cNvSpPr/>
          </xdr:nvSpPr>
          <xdr:spPr>
            <a:xfrm>
              <a:off x="545020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6</a:t>
              </a:r>
            </a:p>
          </xdr:txBody>
        </xdr:sp>
        <xdr:sp macro="" textlink="">
          <xdr:nvSpPr>
            <xdr:cNvPr id="47" name="Rectangle 4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718D6863-A8D2-40D7-B45C-04CD54B67A4B}"/>
                </a:ext>
              </a:extLst>
            </xdr:cNvPr>
            <xdr:cNvSpPr/>
          </xdr:nvSpPr>
          <xdr:spPr>
            <a:xfrm>
              <a:off x="6176010" y="400050"/>
              <a:ext cx="720000" cy="144000"/>
            </a:xfrm>
            <a:prstGeom prst="rect">
              <a:avLst/>
            </a:prstGeom>
            <a:solidFill>
              <a:schemeClr val="bg1">
                <a:lumMod val="6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>
                  <a:solidFill>
                    <a:srgbClr val="FFFF00"/>
                  </a:solidFill>
                </a:rPr>
                <a:t>THÁNG 7</a:t>
              </a:r>
            </a:p>
          </xdr:txBody>
        </xdr:sp>
        <xdr:sp macro="" textlink="">
          <xdr:nvSpPr>
            <xdr:cNvPr id="48" name="Rectangle 4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E6854CDF-6D37-44E1-A3B9-C55E3669A4A3}"/>
                </a:ext>
              </a:extLst>
            </xdr:cNvPr>
            <xdr:cNvSpPr/>
          </xdr:nvSpPr>
          <xdr:spPr>
            <a:xfrm>
              <a:off x="690181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8</a:t>
              </a:r>
            </a:p>
          </xdr:txBody>
        </xdr:sp>
        <xdr:sp macro="" textlink="">
          <xdr:nvSpPr>
            <xdr:cNvPr id="49" name="Rectangle 48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F81CA507-F9A7-4489-88E7-27AD9FE39779}"/>
                </a:ext>
              </a:extLst>
            </xdr:cNvPr>
            <xdr:cNvSpPr/>
          </xdr:nvSpPr>
          <xdr:spPr>
            <a:xfrm>
              <a:off x="762762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9</a:t>
              </a:r>
            </a:p>
          </xdr:txBody>
        </xdr:sp>
      </xdr:grp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367C2541-5688-4107-B67B-2955ED253F80}"/>
              </a:ext>
            </a:extLst>
          </xdr:cNvPr>
          <xdr:cNvSpPr txBox="1"/>
        </xdr:nvSpPr>
        <xdr:spPr>
          <a:xfrm>
            <a:off x="1226820" y="121920"/>
            <a:ext cx="1463040" cy="2514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i="1">
                <a:solidFill>
                  <a:schemeClr val="bg1"/>
                </a:solidFill>
              </a:rPr>
              <a:t>@Copyright</a:t>
            </a:r>
            <a:r>
              <a:rPr lang="en-US" sz="1000" i="1" baseline="0">
                <a:solidFill>
                  <a:schemeClr val="bg1"/>
                </a:solidFill>
              </a:rPr>
              <a:t> by MJK</a:t>
            </a:r>
            <a:endParaRPr lang="vi-VN" sz="1000" i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</xdr:colOff>
      <xdr:row>0</xdr:row>
      <xdr:rowOff>0</xdr:rowOff>
    </xdr:from>
    <xdr:to>
      <xdr:col>74</xdr:col>
      <xdr:colOff>601980</xdr:colOff>
      <xdr:row>3</xdr:row>
      <xdr:rowOff>18270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BC3947D1-C32A-4E7B-A96B-CB60A22D577E}"/>
            </a:ext>
          </a:extLst>
        </xdr:cNvPr>
        <xdr:cNvGrpSpPr/>
      </xdr:nvGrpSpPr>
      <xdr:grpSpPr>
        <a:xfrm>
          <a:off x="7620" y="0"/>
          <a:ext cx="22067520" cy="566910"/>
          <a:chOff x="0" y="0"/>
          <a:chExt cx="22067520" cy="544050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B1BF1C25-E826-4403-8915-E9A607086960}"/>
              </a:ext>
            </a:extLst>
          </xdr:cNvPr>
          <xdr:cNvGrpSpPr/>
        </xdr:nvGrpSpPr>
        <xdr:grpSpPr>
          <a:xfrm>
            <a:off x="0" y="0"/>
            <a:ext cx="22067520" cy="544050"/>
            <a:chOff x="0" y="0"/>
            <a:chExt cx="22067520" cy="544050"/>
          </a:xfrm>
        </xdr:grpSpPr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AF3ED7B-9EE4-4EAA-82C8-62B8B3831655}"/>
                </a:ext>
              </a:extLst>
            </xdr:cNvPr>
            <xdr:cNvSpPr/>
          </xdr:nvSpPr>
          <xdr:spPr>
            <a:xfrm>
              <a:off x="0" y="182880"/>
              <a:ext cx="22067520" cy="3600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A96BC54C-F1E8-49B7-9085-0441EDDA2418}"/>
                </a:ext>
              </a:extLst>
            </xdr:cNvPr>
            <xdr:cNvSpPr/>
          </xdr:nvSpPr>
          <xdr:spPr>
            <a:xfrm>
              <a:off x="0" y="0"/>
              <a:ext cx="22067520" cy="360000"/>
            </a:xfrm>
            <a:prstGeom prst="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pic>
          <xdr:nvPicPr>
            <xdr:cNvPr id="30" name="Picture 29">
              <a:extLst>
                <a:ext uri="{FF2B5EF4-FFF2-40B4-BE49-F238E27FC236}">
                  <a16:creationId xmlns:a16="http://schemas.microsoft.com/office/drawing/2014/main" id="{8B90D238-7537-4E0F-A21A-5838212657B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41021" y="18000"/>
              <a:ext cx="324000" cy="324000"/>
            </a:xfrm>
            <a:prstGeom prst="rect">
              <a:avLst/>
            </a:prstGeom>
          </xdr:spPr>
        </xdr:pic>
        <xdr:pic>
          <xdr:nvPicPr>
            <xdr:cNvPr id="31" name="Picture 30">
              <a:extLst>
                <a:ext uri="{FF2B5EF4-FFF2-40B4-BE49-F238E27FC236}">
                  <a16:creationId xmlns:a16="http://schemas.microsoft.com/office/drawing/2014/main" id="{FB968C21-AF94-4657-8A5B-F86603ADEF6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6780" y="18000"/>
              <a:ext cx="324000" cy="324000"/>
            </a:xfrm>
            <a:prstGeom prst="rect">
              <a:avLst/>
            </a:prstGeom>
          </xdr:spPr>
        </xdr:pic>
        <xdr:sp macro="" textlink="">
          <xdr:nvSpPr>
            <xdr:cNvPr id="32" name="Rectangle 3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340A404B-E0E1-47EB-B539-2E24E63E920F}"/>
                </a:ext>
              </a:extLst>
            </xdr:cNvPr>
            <xdr:cNvSpPr/>
          </xdr:nvSpPr>
          <xdr:spPr>
            <a:xfrm>
              <a:off x="321564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HOME</a:t>
              </a:r>
            </a:p>
          </xdr:txBody>
        </xdr:sp>
        <xdr:sp macro="" textlink="">
          <xdr:nvSpPr>
            <xdr:cNvPr id="33" name="Rectangle 3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5AFE0634-6E17-448A-869B-C9395DBE7224}"/>
                </a:ext>
              </a:extLst>
            </xdr:cNvPr>
            <xdr:cNvSpPr/>
          </xdr:nvSpPr>
          <xdr:spPr>
            <a:xfrm>
              <a:off x="4200144" y="156210"/>
              <a:ext cx="972000" cy="1905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>
                  <a:solidFill>
                    <a:srgbClr val="002060"/>
                  </a:solidFill>
                </a:rPr>
                <a:t>CHẤM</a:t>
              </a:r>
              <a:r>
                <a:rPr lang="en-US" sz="1100" b="1" baseline="0">
                  <a:solidFill>
                    <a:srgbClr val="002060"/>
                  </a:solidFill>
                </a:rPr>
                <a:t> CÔNG</a:t>
              </a:r>
            </a:p>
            <a:p>
              <a:pPr algn="ctr"/>
              <a:endParaRPr lang="en-US" sz="1100" b="1">
                <a:solidFill>
                  <a:srgbClr val="002060"/>
                </a:solidFill>
              </a:endParaRPr>
            </a:p>
          </xdr:txBody>
        </xdr:sp>
        <xdr:sp macro="" textlink="">
          <xdr:nvSpPr>
            <xdr:cNvPr id="34" name="Rectangle 3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4D9C4C95-E0E2-4CA9-885F-128FDE92DB7A}"/>
                </a:ext>
              </a:extLst>
            </xdr:cNvPr>
            <xdr:cNvSpPr/>
          </xdr:nvSpPr>
          <xdr:spPr>
            <a:xfrm>
              <a:off x="5184648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BÁO</a:t>
              </a:r>
              <a:r>
                <a:rPr lang="en-US" sz="1100" b="1" baseline="0"/>
                <a:t> CÁO</a:t>
              </a:r>
              <a:endParaRPr lang="en-US" sz="1100" b="1"/>
            </a:p>
          </xdr:txBody>
        </xdr:sp>
        <xdr:sp macro="" textlink="">
          <xdr:nvSpPr>
            <xdr:cNvPr id="35" name="Rectangle 3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6BACB3ED-C56A-42C1-A014-377B6E5DDAA9}"/>
                </a:ext>
              </a:extLst>
            </xdr:cNvPr>
            <xdr:cNvSpPr/>
          </xdr:nvSpPr>
          <xdr:spPr>
            <a:xfrm>
              <a:off x="6169152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B.</a:t>
              </a:r>
              <a:r>
                <a:rPr lang="en-US" sz="1100" b="1" baseline="0"/>
                <a:t> LƯƠNG</a:t>
              </a:r>
              <a:endParaRPr lang="en-US" sz="1100" b="1"/>
            </a:p>
          </xdr:txBody>
        </xdr:sp>
        <xdr:sp macro="" textlink="">
          <xdr:nvSpPr>
            <xdr:cNvPr id="36" name="Rectangle 3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6B814F7E-CCD0-4DA9-B3F4-07F9EE332330}"/>
                </a:ext>
              </a:extLst>
            </xdr:cNvPr>
            <xdr:cNvSpPr/>
          </xdr:nvSpPr>
          <xdr:spPr>
            <a:xfrm>
              <a:off x="7153656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DS NV</a:t>
              </a:r>
            </a:p>
          </xdr:txBody>
        </xdr:sp>
        <xdr:sp macro="" textlink="">
          <xdr:nvSpPr>
            <xdr:cNvPr id="37" name="Rectangle 3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DA08726C-0644-4A5E-9670-F019F9D1390C}"/>
                </a:ext>
              </a:extLst>
            </xdr:cNvPr>
            <xdr:cNvSpPr/>
          </xdr:nvSpPr>
          <xdr:spPr>
            <a:xfrm>
              <a:off x="813816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CÀI</a:t>
              </a:r>
              <a:r>
                <a:rPr lang="en-US" sz="1100" b="1" baseline="0"/>
                <a:t> ĐẶT</a:t>
              </a:r>
              <a:endParaRPr lang="en-US" sz="1100" b="1"/>
            </a:p>
          </xdr:txBody>
        </xdr:sp>
        <xdr:sp macro="" textlink="">
          <xdr:nvSpPr>
            <xdr:cNvPr id="38" name="Rectangle 3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1D8ACCB8-3BB5-4A68-B856-93CD04ADF997}"/>
                </a:ext>
              </a:extLst>
            </xdr:cNvPr>
            <xdr:cNvSpPr/>
          </xdr:nvSpPr>
          <xdr:spPr>
            <a:xfrm>
              <a:off x="327279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3</a:t>
              </a:r>
            </a:p>
          </xdr:txBody>
        </xdr:sp>
        <xdr:sp macro="" textlink="">
          <xdr:nvSpPr>
            <xdr:cNvPr id="39" name="Rectangle 3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46141BEE-E736-4AF0-B224-6C31FB5CEF65}"/>
                </a:ext>
              </a:extLst>
            </xdr:cNvPr>
            <xdr:cNvSpPr/>
          </xdr:nvSpPr>
          <xdr:spPr>
            <a:xfrm>
              <a:off x="399859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4</a:t>
              </a:r>
            </a:p>
          </xdr:txBody>
        </xdr:sp>
        <xdr:sp macro="" textlink="">
          <xdr:nvSpPr>
            <xdr:cNvPr id="40" name="Rectangle 39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A60E8E34-AF50-411B-8690-2D0B3DA9E1CE}"/>
                </a:ext>
              </a:extLst>
            </xdr:cNvPr>
            <xdr:cNvSpPr/>
          </xdr:nvSpPr>
          <xdr:spPr>
            <a:xfrm>
              <a:off x="182118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</a:t>
              </a:r>
              <a:r>
                <a:rPr lang="en-US" sz="900" b="1" baseline="0"/>
                <a:t> 1</a:t>
              </a:r>
              <a:endParaRPr lang="en-US" sz="900" b="1"/>
            </a:p>
          </xdr:txBody>
        </xdr:sp>
        <xdr:sp macro="" textlink="">
          <xdr:nvSpPr>
            <xdr:cNvPr id="41" name="Rectangle 4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490E1314-A129-4132-9372-835B8546DE85}"/>
                </a:ext>
              </a:extLst>
            </xdr:cNvPr>
            <xdr:cNvSpPr/>
          </xdr:nvSpPr>
          <xdr:spPr>
            <a:xfrm>
              <a:off x="980503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12</a:t>
              </a:r>
            </a:p>
          </xdr:txBody>
        </xdr:sp>
        <xdr:sp macro="" textlink="">
          <xdr:nvSpPr>
            <xdr:cNvPr id="42" name="Rectangle 4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FC49EFA-949E-4EF1-8A95-297CA1919D77}"/>
                </a:ext>
              </a:extLst>
            </xdr:cNvPr>
            <xdr:cNvSpPr/>
          </xdr:nvSpPr>
          <xdr:spPr>
            <a:xfrm>
              <a:off x="254698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THÁNG</a:t>
              </a:r>
              <a:r>
                <a:rPr lang="en-US" sz="9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2</a:t>
              </a:r>
            </a:p>
          </xdr:txBody>
        </xdr:sp>
        <xdr:sp macro="" textlink="">
          <xdr:nvSpPr>
            <xdr:cNvPr id="43" name="Rectangle 42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7EA1A359-8562-41E8-B900-541352F91B10}"/>
                </a:ext>
              </a:extLst>
            </xdr:cNvPr>
            <xdr:cNvSpPr/>
          </xdr:nvSpPr>
          <xdr:spPr>
            <a:xfrm>
              <a:off x="472440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5</a:t>
              </a:r>
            </a:p>
          </xdr:txBody>
        </xdr:sp>
        <xdr:sp macro="" textlink="">
          <xdr:nvSpPr>
            <xdr:cNvPr id="44" name="Rectangle 43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2B27A364-8AB8-4FF2-8402-8472F360019D}"/>
                </a:ext>
              </a:extLst>
            </xdr:cNvPr>
            <xdr:cNvSpPr/>
          </xdr:nvSpPr>
          <xdr:spPr>
            <a:xfrm>
              <a:off x="907923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11</a:t>
              </a:r>
            </a:p>
          </xdr:txBody>
        </xdr:sp>
        <xdr:sp macro="" textlink="">
          <xdr:nvSpPr>
            <xdr:cNvPr id="45" name="Rectangle 44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8A19595D-6111-48D9-89B7-8E2B1EA0D1A5}"/>
                </a:ext>
              </a:extLst>
            </xdr:cNvPr>
            <xdr:cNvSpPr/>
          </xdr:nvSpPr>
          <xdr:spPr>
            <a:xfrm>
              <a:off x="835342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10</a:t>
              </a:r>
            </a:p>
          </xdr:txBody>
        </xdr:sp>
        <xdr:sp macro="" textlink="">
          <xdr:nvSpPr>
            <xdr:cNvPr id="46" name="Rectangle 45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9CFA0C15-0478-4BE2-B6A6-5ADD511B0F16}"/>
                </a:ext>
              </a:extLst>
            </xdr:cNvPr>
            <xdr:cNvSpPr/>
          </xdr:nvSpPr>
          <xdr:spPr>
            <a:xfrm>
              <a:off x="545020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6</a:t>
              </a:r>
            </a:p>
          </xdr:txBody>
        </xdr:sp>
        <xdr:sp macro="" textlink="">
          <xdr:nvSpPr>
            <xdr:cNvPr id="47" name="Rectangle 4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2331C100-1704-4DFC-A5AD-660AB00AE66B}"/>
                </a:ext>
              </a:extLst>
            </xdr:cNvPr>
            <xdr:cNvSpPr/>
          </xdr:nvSpPr>
          <xdr:spPr>
            <a:xfrm>
              <a:off x="617601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7</a:t>
              </a:r>
            </a:p>
          </xdr:txBody>
        </xdr:sp>
        <xdr:sp macro="" textlink="">
          <xdr:nvSpPr>
            <xdr:cNvPr id="48" name="Rectangle 4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543C2902-1800-4CC3-B005-99300B04EB15}"/>
                </a:ext>
              </a:extLst>
            </xdr:cNvPr>
            <xdr:cNvSpPr/>
          </xdr:nvSpPr>
          <xdr:spPr>
            <a:xfrm>
              <a:off x="6901815" y="400050"/>
              <a:ext cx="720000" cy="144000"/>
            </a:xfrm>
            <a:prstGeom prst="rect">
              <a:avLst/>
            </a:prstGeom>
            <a:solidFill>
              <a:schemeClr val="bg1">
                <a:lumMod val="6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>
                  <a:solidFill>
                    <a:srgbClr val="FFFF00"/>
                  </a:solidFill>
                </a:rPr>
                <a:t>THÁNG 8</a:t>
              </a:r>
            </a:p>
          </xdr:txBody>
        </xdr:sp>
        <xdr:sp macro="" textlink="">
          <xdr:nvSpPr>
            <xdr:cNvPr id="49" name="Rectangle 48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1CCF8391-2F42-4798-B487-7A2C7F2839E9}"/>
                </a:ext>
              </a:extLst>
            </xdr:cNvPr>
            <xdr:cNvSpPr/>
          </xdr:nvSpPr>
          <xdr:spPr>
            <a:xfrm>
              <a:off x="762762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9</a:t>
              </a:r>
            </a:p>
          </xdr:txBody>
        </xdr:sp>
      </xdr:grp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A078702B-C8A3-4360-A949-6D3F70F53887}"/>
              </a:ext>
            </a:extLst>
          </xdr:cNvPr>
          <xdr:cNvSpPr txBox="1"/>
        </xdr:nvSpPr>
        <xdr:spPr>
          <a:xfrm>
            <a:off x="1226820" y="121920"/>
            <a:ext cx="1463040" cy="2514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i="1">
                <a:solidFill>
                  <a:schemeClr val="bg1"/>
                </a:solidFill>
              </a:rPr>
              <a:t>@Copyright</a:t>
            </a:r>
            <a:r>
              <a:rPr lang="en-US" sz="1000" i="1" baseline="0">
                <a:solidFill>
                  <a:schemeClr val="bg1"/>
                </a:solidFill>
              </a:rPr>
              <a:t> by MJK</a:t>
            </a:r>
            <a:endParaRPr lang="vi-VN" sz="1000" i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74</xdr:col>
      <xdr:colOff>594360</xdr:colOff>
      <xdr:row>3</xdr:row>
      <xdr:rowOff>18270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D0A44C2-8E8B-4BBC-97BE-7C6A65716B2A}"/>
            </a:ext>
          </a:extLst>
        </xdr:cNvPr>
        <xdr:cNvGrpSpPr/>
      </xdr:nvGrpSpPr>
      <xdr:grpSpPr>
        <a:xfrm>
          <a:off x="0" y="0"/>
          <a:ext cx="22067520" cy="566910"/>
          <a:chOff x="0" y="0"/>
          <a:chExt cx="22067520" cy="544050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CDF7D195-6D99-45FE-999F-598178002698}"/>
              </a:ext>
            </a:extLst>
          </xdr:cNvPr>
          <xdr:cNvGrpSpPr/>
        </xdr:nvGrpSpPr>
        <xdr:grpSpPr>
          <a:xfrm>
            <a:off x="0" y="0"/>
            <a:ext cx="22067520" cy="544050"/>
            <a:chOff x="0" y="0"/>
            <a:chExt cx="22067520" cy="544050"/>
          </a:xfrm>
        </xdr:grpSpPr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EAABB029-AE81-4419-87DD-5CBEB6906319}"/>
                </a:ext>
              </a:extLst>
            </xdr:cNvPr>
            <xdr:cNvSpPr/>
          </xdr:nvSpPr>
          <xdr:spPr>
            <a:xfrm>
              <a:off x="0" y="182880"/>
              <a:ext cx="22067520" cy="3600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AEFAFAF7-AC32-4CA9-851B-3DB1853A5985}"/>
                </a:ext>
              </a:extLst>
            </xdr:cNvPr>
            <xdr:cNvSpPr/>
          </xdr:nvSpPr>
          <xdr:spPr>
            <a:xfrm>
              <a:off x="0" y="0"/>
              <a:ext cx="22067520" cy="360000"/>
            </a:xfrm>
            <a:prstGeom prst="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pic>
          <xdr:nvPicPr>
            <xdr:cNvPr id="30" name="Picture 29">
              <a:extLst>
                <a:ext uri="{FF2B5EF4-FFF2-40B4-BE49-F238E27FC236}">
                  <a16:creationId xmlns:a16="http://schemas.microsoft.com/office/drawing/2014/main" id="{75615954-9C03-4084-A219-E1867A3B7E3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41021" y="18000"/>
              <a:ext cx="324000" cy="324000"/>
            </a:xfrm>
            <a:prstGeom prst="rect">
              <a:avLst/>
            </a:prstGeom>
          </xdr:spPr>
        </xdr:pic>
        <xdr:pic>
          <xdr:nvPicPr>
            <xdr:cNvPr id="31" name="Picture 30">
              <a:extLst>
                <a:ext uri="{FF2B5EF4-FFF2-40B4-BE49-F238E27FC236}">
                  <a16:creationId xmlns:a16="http://schemas.microsoft.com/office/drawing/2014/main" id="{39F0FDB8-DF41-48D3-8265-A0375EE3970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6780" y="18000"/>
              <a:ext cx="324000" cy="324000"/>
            </a:xfrm>
            <a:prstGeom prst="rect">
              <a:avLst/>
            </a:prstGeom>
          </xdr:spPr>
        </xdr:pic>
        <xdr:sp macro="" textlink="">
          <xdr:nvSpPr>
            <xdr:cNvPr id="32" name="Rectangle 3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FEC9BB57-FC7F-496D-BF7F-226F9C3D581A}"/>
                </a:ext>
              </a:extLst>
            </xdr:cNvPr>
            <xdr:cNvSpPr/>
          </xdr:nvSpPr>
          <xdr:spPr>
            <a:xfrm>
              <a:off x="321564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HOME</a:t>
              </a:r>
            </a:p>
          </xdr:txBody>
        </xdr:sp>
        <xdr:sp macro="" textlink="">
          <xdr:nvSpPr>
            <xdr:cNvPr id="33" name="Rectangle 3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DE121D6-46E1-4A5C-BFF8-EFF80E8670F3}"/>
                </a:ext>
              </a:extLst>
            </xdr:cNvPr>
            <xdr:cNvSpPr/>
          </xdr:nvSpPr>
          <xdr:spPr>
            <a:xfrm>
              <a:off x="4200144" y="156210"/>
              <a:ext cx="972000" cy="1905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>
                  <a:solidFill>
                    <a:srgbClr val="002060"/>
                  </a:solidFill>
                </a:rPr>
                <a:t>CHẤM</a:t>
              </a:r>
              <a:r>
                <a:rPr lang="en-US" sz="1100" b="1" baseline="0">
                  <a:solidFill>
                    <a:srgbClr val="002060"/>
                  </a:solidFill>
                </a:rPr>
                <a:t> CÔNG</a:t>
              </a:r>
            </a:p>
            <a:p>
              <a:pPr algn="ctr"/>
              <a:endParaRPr lang="en-US" sz="1100" b="1">
                <a:solidFill>
                  <a:srgbClr val="002060"/>
                </a:solidFill>
              </a:endParaRPr>
            </a:p>
          </xdr:txBody>
        </xdr:sp>
        <xdr:sp macro="" textlink="">
          <xdr:nvSpPr>
            <xdr:cNvPr id="34" name="Rectangle 3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2FBBE639-FCDB-403E-96F8-10571E9894FF}"/>
                </a:ext>
              </a:extLst>
            </xdr:cNvPr>
            <xdr:cNvSpPr/>
          </xdr:nvSpPr>
          <xdr:spPr>
            <a:xfrm>
              <a:off x="5184648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BÁO</a:t>
              </a:r>
              <a:r>
                <a:rPr lang="en-US" sz="1100" b="1" baseline="0"/>
                <a:t> CÁO</a:t>
              </a:r>
              <a:endParaRPr lang="en-US" sz="1100" b="1"/>
            </a:p>
          </xdr:txBody>
        </xdr:sp>
        <xdr:sp macro="" textlink="">
          <xdr:nvSpPr>
            <xdr:cNvPr id="35" name="Rectangle 3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EC14C0B-4C75-4BEC-9E11-208288FBF35B}"/>
                </a:ext>
              </a:extLst>
            </xdr:cNvPr>
            <xdr:cNvSpPr/>
          </xdr:nvSpPr>
          <xdr:spPr>
            <a:xfrm>
              <a:off x="6169152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B.</a:t>
              </a:r>
              <a:r>
                <a:rPr lang="en-US" sz="1100" b="1" baseline="0"/>
                <a:t> LƯƠNG</a:t>
              </a:r>
              <a:endParaRPr lang="en-US" sz="1100" b="1"/>
            </a:p>
          </xdr:txBody>
        </xdr:sp>
        <xdr:sp macro="" textlink="">
          <xdr:nvSpPr>
            <xdr:cNvPr id="36" name="Rectangle 3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57847D39-FC73-4B91-9BFF-F7E3F162FE65}"/>
                </a:ext>
              </a:extLst>
            </xdr:cNvPr>
            <xdr:cNvSpPr/>
          </xdr:nvSpPr>
          <xdr:spPr>
            <a:xfrm>
              <a:off x="7153656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DS NV</a:t>
              </a:r>
            </a:p>
          </xdr:txBody>
        </xdr:sp>
        <xdr:sp macro="" textlink="">
          <xdr:nvSpPr>
            <xdr:cNvPr id="37" name="Rectangle 3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CE41CD43-F94A-485A-A9BC-BCB1A4D461C1}"/>
                </a:ext>
              </a:extLst>
            </xdr:cNvPr>
            <xdr:cNvSpPr/>
          </xdr:nvSpPr>
          <xdr:spPr>
            <a:xfrm>
              <a:off x="813816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CÀI</a:t>
              </a:r>
              <a:r>
                <a:rPr lang="en-US" sz="1100" b="1" baseline="0"/>
                <a:t> ĐẶT</a:t>
              </a:r>
              <a:endParaRPr lang="en-US" sz="1100" b="1"/>
            </a:p>
          </xdr:txBody>
        </xdr:sp>
        <xdr:sp macro="" textlink="">
          <xdr:nvSpPr>
            <xdr:cNvPr id="38" name="Rectangle 3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A9955C52-473D-4B20-8747-3FF061F04612}"/>
                </a:ext>
              </a:extLst>
            </xdr:cNvPr>
            <xdr:cNvSpPr/>
          </xdr:nvSpPr>
          <xdr:spPr>
            <a:xfrm>
              <a:off x="327279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3</a:t>
              </a:r>
            </a:p>
          </xdr:txBody>
        </xdr:sp>
        <xdr:sp macro="" textlink="">
          <xdr:nvSpPr>
            <xdr:cNvPr id="39" name="Rectangle 3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43E27203-B518-4809-9025-9214230EEB26}"/>
                </a:ext>
              </a:extLst>
            </xdr:cNvPr>
            <xdr:cNvSpPr/>
          </xdr:nvSpPr>
          <xdr:spPr>
            <a:xfrm>
              <a:off x="399859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4</a:t>
              </a:r>
            </a:p>
          </xdr:txBody>
        </xdr:sp>
        <xdr:sp macro="" textlink="">
          <xdr:nvSpPr>
            <xdr:cNvPr id="40" name="Rectangle 39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D58029DA-FED3-4FDB-8AB2-25B2357EFE99}"/>
                </a:ext>
              </a:extLst>
            </xdr:cNvPr>
            <xdr:cNvSpPr/>
          </xdr:nvSpPr>
          <xdr:spPr>
            <a:xfrm>
              <a:off x="182118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</a:t>
              </a:r>
              <a:r>
                <a:rPr lang="en-US" sz="900" b="1" baseline="0"/>
                <a:t> 1</a:t>
              </a:r>
              <a:endParaRPr lang="en-US" sz="900" b="1"/>
            </a:p>
          </xdr:txBody>
        </xdr:sp>
        <xdr:sp macro="" textlink="">
          <xdr:nvSpPr>
            <xdr:cNvPr id="41" name="Rectangle 4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6A14E6F1-7E34-4F66-8569-A63F8BA6A878}"/>
                </a:ext>
              </a:extLst>
            </xdr:cNvPr>
            <xdr:cNvSpPr/>
          </xdr:nvSpPr>
          <xdr:spPr>
            <a:xfrm>
              <a:off x="980503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12</a:t>
              </a:r>
            </a:p>
          </xdr:txBody>
        </xdr:sp>
        <xdr:sp macro="" textlink="">
          <xdr:nvSpPr>
            <xdr:cNvPr id="42" name="Rectangle 4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BD907E86-BF7A-49BF-8233-1795AD733636}"/>
                </a:ext>
              </a:extLst>
            </xdr:cNvPr>
            <xdr:cNvSpPr/>
          </xdr:nvSpPr>
          <xdr:spPr>
            <a:xfrm>
              <a:off x="254698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THÁNG</a:t>
              </a:r>
              <a:r>
                <a:rPr lang="en-US" sz="9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2</a:t>
              </a:r>
            </a:p>
          </xdr:txBody>
        </xdr:sp>
        <xdr:sp macro="" textlink="">
          <xdr:nvSpPr>
            <xdr:cNvPr id="43" name="Rectangle 42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ACF09637-8B07-4E2B-8C33-12BCCA51F2A6}"/>
                </a:ext>
              </a:extLst>
            </xdr:cNvPr>
            <xdr:cNvSpPr/>
          </xdr:nvSpPr>
          <xdr:spPr>
            <a:xfrm>
              <a:off x="472440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5</a:t>
              </a:r>
            </a:p>
          </xdr:txBody>
        </xdr:sp>
        <xdr:sp macro="" textlink="">
          <xdr:nvSpPr>
            <xdr:cNvPr id="44" name="Rectangle 43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D3662090-18D9-4EF1-A5AE-00E66CD860CE}"/>
                </a:ext>
              </a:extLst>
            </xdr:cNvPr>
            <xdr:cNvSpPr/>
          </xdr:nvSpPr>
          <xdr:spPr>
            <a:xfrm>
              <a:off x="907923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11</a:t>
              </a:r>
            </a:p>
          </xdr:txBody>
        </xdr:sp>
        <xdr:sp macro="" textlink="">
          <xdr:nvSpPr>
            <xdr:cNvPr id="45" name="Rectangle 44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3972B4BA-179E-4832-9C44-1AE816C197BA}"/>
                </a:ext>
              </a:extLst>
            </xdr:cNvPr>
            <xdr:cNvSpPr/>
          </xdr:nvSpPr>
          <xdr:spPr>
            <a:xfrm>
              <a:off x="835342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10</a:t>
              </a:r>
            </a:p>
          </xdr:txBody>
        </xdr:sp>
        <xdr:sp macro="" textlink="">
          <xdr:nvSpPr>
            <xdr:cNvPr id="46" name="Rectangle 45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6DC37529-ACEE-4EF0-B563-189253FA39B8}"/>
                </a:ext>
              </a:extLst>
            </xdr:cNvPr>
            <xdr:cNvSpPr/>
          </xdr:nvSpPr>
          <xdr:spPr>
            <a:xfrm>
              <a:off x="545020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6</a:t>
              </a:r>
            </a:p>
          </xdr:txBody>
        </xdr:sp>
        <xdr:sp macro="" textlink="">
          <xdr:nvSpPr>
            <xdr:cNvPr id="47" name="Rectangle 4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B134C913-5A1F-41E2-B1BF-E63703DDB721}"/>
                </a:ext>
              </a:extLst>
            </xdr:cNvPr>
            <xdr:cNvSpPr/>
          </xdr:nvSpPr>
          <xdr:spPr>
            <a:xfrm>
              <a:off x="617601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7</a:t>
              </a:r>
            </a:p>
          </xdr:txBody>
        </xdr:sp>
        <xdr:sp macro="" textlink="">
          <xdr:nvSpPr>
            <xdr:cNvPr id="48" name="Rectangle 4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B2AD34D8-FBF4-49D1-BFF3-0001C75DA5D7}"/>
                </a:ext>
              </a:extLst>
            </xdr:cNvPr>
            <xdr:cNvSpPr/>
          </xdr:nvSpPr>
          <xdr:spPr>
            <a:xfrm>
              <a:off x="690181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8</a:t>
              </a:r>
            </a:p>
          </xdr:txBody>
        </xdr:sp>
        <xdr:sp macro="" textlink="">
          <xdr:nvSpPr>
            <xdr:cNvPr id="49" name="Rectangle 48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C8AF265C-88D8-4CF7-A68F-1A3BCD52E809}"/>
                </a:ext>
              </a:extLst>
            </xdr:cNvPr>
            <xdr:cNvSpPr/>
          </xdr:nvSpPr>
          <xdr:spPr>
            <a:xfrm>
              <a:off x="7627620" y="400050"/>
              <a:ext cx="720000" cy="144000"/>
            </a:xfrm>
            <a:prstGeom prst="rect">
              <a:avLst/>
            </a:prstGeom>
            <a:solidFill>
              <a:schemeClr val="bg1">
                <a:lumMod val="6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>
                  <a:solidFill>
                    <a:srgbClr val="FFFF00"/>
                  </a:solidFill>
                </a:rPr>
                <a:t>THÁNG 9</a:t>
              </a:r>
            </a:p>
          </xdr:txBody>
        </xdr:sp>
      </xdr:grp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00CC5A45-F585-4C75-84C2-10E99D1ACA95}"/>
              </a:ext>
            </a:extLst>
          </xdr:cNvPr>
          <xdr:cNvSpPr txBox="1"/>
        </xdr:nvSpPr>
        <xdr:spPr>
          <a:xfrm>
            <a:off x="1226820" y="121920"/>
            <a:ext cx="1463040" cy="2514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i="1">
                <a:solidFill>
                  <a:schemeClr val="bg1"/>
                </a:solidFill>
              </a:rPr>
              <a:t>@Copyright</a:t>
            </a:r>
            <a:r>
              <a:rPr lang="en-US" sz="1000" i="1" baseline="0">
                <a:solidFill>
                  <a:schemeClr val="bg1"/>
                </a:solidFill>
              </a:rPr>
              <a:t> by MJK</a:t>
            </a:r>
            <a:endParaRPr lang="vi-VN" sz="1000" i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74</xdr:col>
      <xdr:colOff>601980</xdr:colOff>
      <xdr:row>3</xdr:row>
      <xdr:rowOff>18270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D2AFCA4B-CAB1-449E-9C12-8B8DE2EA8BF2}"/>
            </a:ext>
          </a:extLst>
        </xdr:cNvPr>
        <xdr:cNvGrpSpPr/>
      </xdr:nvGrpSpPr>
      <xdr:grpSpPr>
        <a:xfrm>
          <a:off x="0" y="0"/>
          <a:ext cx="22075140" cy="566910"/>
          <a:chOff x="0" y="0"/>
          <a:chExt cx="22075140" cy="544050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F5DF67BE-A8C8-4D0E-BBDA-3ADCC8023BCF}"/>
              </a:ext>
            </a:extLst>
          </xdr:cNvPr>
          <xdr:cNvGrpSpPr/>
        </xdr:nvGrpSpPr>
        <xdr:grpSpPr>
          <a:xfrm>
            <a:off x="0" y="0"/>
            <a:ext cx="22075140" cy="544050"/>
            <a:chOff x="0" y="0"/>
            <a:chExt cx="22075140" cy="544050"/>
          </a:xfrm>
        </xdr:grpSpPr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D68555D4-6A34-44A6-86A0-1A085B3AF3FF}"/>
                </a:ext>
              </a:extLst>
            </xdr:cNvPr>
            <xdr:cNvSpPr/>
          </xdr:nvSpPr>
          <xdr:spPr>
            <a:xfrm>
              <a:off x="0" y="182880"/>
              <a:ext cx="22075140" cy="3600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C64DA6C1-3624-42F1-80DE-83EABE39E967}"/>
                </a:ext>
              </a:extLst>
            </xdr:cNvPr>
            <xdr:cNvSpPr/>
          </xdr:nvSpPr>
          <xdr:spPr>
            <a:xfrm>
              <a:off x="0" y="0"/>
              <a:ext cx="22075140" cy="360000"/>
            </a:xfrm>
            <a:prstGeom prst="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pic>
          <xdr:nvPicPr>
            <xdr:cNvPr id="30" name="Picture 29">
              <a:extLst>
                <a:ext uri="{FF2B5EF4-FFF2-40B4-BE49-F238E27FC236}">
                  <a16:creationId xmlns:a16="http://schemas.microsoft.com/office/drawing/2014/main" id="{380383F9-0D0F-4615-9B5A-096C7C4962A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41021" y="18000"/>
              <a:ext cx="324000" cy="324000"/>
            </a:xfrm>
            <a:prstGeom prst="rect">
              <a:avLst/>
            </a:prstGeom>
          </xdr:spPr>
        </xdr:pic>
        <xdr:pic>
          <xdr:nvPicPr>
            <xdr:cNvPr id="31" name="Picture 30">
              <a:extLst>
                <a:ext uri="{FF2B5EF4-FFF2-40B4-BE49-F238E27FC236}">
                  <a16:creationId xmlns:a16="http://schemas.microsoft.com/office/drawing/2014/main" id="{402E0CDF-5F2B-4546-A09E-82B25A7E129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6780" y="18000"/>
              <a:ext cx="324000" cy="324000"/>
            </a:xfrm>
            <a:prstGeom prst="rect">
              <a:avLst/>
            </a:prstGeom>
          </xdr:spPr>
        </xdr:pic>
        <xdr:sp macro="" textlink="">
          <xdr:nvSpPr>
            <xdr:cNvPr id="32" name="Rectangle 3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85D3B1A8-7AAF-4641-95B0-7290141DC53A}"/>
                </a:ext>
              </a:extLst>
            </xdr:cNvPr>
            <xdr:cNvSpPr/>
          </xdr:nvSpPr>
          <xdr:spPr>
            <a:xfrm>
              <a:off x="321564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HOME</a:t>
              </a:r>
            </a:p>
          </xdr:txBody>
        </xdr:sp>
        <xdr:sp macro="" textlink="">
          <xdr:nvSpPr>
            <xdr:cNvPr id="33" name="Rectangle 3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27B4CDF8-174E-445B-ADDD-ACA8B271C95C}"/>
                </a:ext>
              </a:extLst>
            </xdr:cNvPr>
            <xdr:cNvSpPr/>
          </xdr:nvSpPr>
          <xdr:spPr>
            <a:xfrm>
              <a:off x="4200144" y="156210"/>
              <a:ext cx="972000" cy="1905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>
                  <a:solidFill>
                    <a:srgbClr val="002060"/>
                  </a:solidFill>
                </a:rPr>
                <a:t>CHẤM</a:t>
              </a:r>
              <a:r>
                <a:rPr lang="en-US" sz="1100" b="1" baseline="0">
                  <a:solidFill>
                    <a:srgbClr val="002060"/>
                  </a:solidFill>
                </a:rPr>
                <a:t> CÔNG</a:t>
              </a:r>
            </a:p>
            <a:p>
              <a:pPr algn="ctr"/>
              <a:endParaRPr lang="en-US" sz="1100" b="1">
                <a:solidFill>
                  <a:srgbClr val="002060"/>
                </a:solidFill>
              </a:endParaRPr>
            </a:p>
          </xdr:txBody>
        </xdr:sp>
        <xdr:sp macro="" textlink="">
          <xdr:nvSpPr>
            <xdr:cNvPr id="34" name="Rectangle 3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4CB430BE-AD2C-46CB-B1E4-3FA4F2DD02BA}"/>
                </a:ext>
              </a:extLst>
            </xdr:cNvPr>
            <xdr:cNvSpPr/>
          </xdr:nvSpPr>
          <xdr:spPr>
            <a:xfrm>
              <a:off x="5184648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BÁO</a:t>
              </a:r>
              <a:r>
                <a:rPr lang="en-US" sz="1100" b="1" baseline="0"/>
                <a:t> CÁO</a:t>
              </a:r>
              <a:endParaRPr lang="en-US" sz="1100" b="1"/>
            </a:p>
          </xdr:txBody>
        </xdr:sp>
        <xdr:sp macro="" textlink="">
          <xdr:nvSpPr>
            <xdr:cNvPr id="35" name="Rectangle 3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81D2E3EB-FA29-4069-9E07-2E4ED463121A}"/>
                </a:ext>
              </a:extLst>
            </xdr:cNvPr>
            <xdr:cNvSpPr/>
          </xdr:nvSpPr>
          <xdr:spPr>
            <a:xfrm>
              <a:off x="6169152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B.</a:t>
              </a:r>
              <a:r>
                <a:rPr lang="en-US" sz="1100" b="1" baseline="0"/>
                <a:t> LƯƠNG</a:t>
              </a:r>
              <a:endParaRPr lang="en-US" sz="1100" b="1"/>
            </a:p>
          </xdr:txBody>
        </xdr:sp>
        <xdr:sp macro="" textlink="">
          <xdr:nvSpPr>
            <xdr:cNvPr id="36" name="Rectangle 3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B9146829-61AA-4320-B8C3-4C61A8133E8E}"/>
                </a:ext>
              </a:extLst>
            </xdr:cNvPr>
            <xdr:cNvSpPr/>
          </xdr:nvSpPr>
          <xdr:spPr>
            <a:xfrm>
              <a:off x="7153656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DS NV</a:t>
              </a:r>
            </a:p>
          </xdr:txBody>
        </xdr:sp>
        <xdr:sp macro="" textlink="">
          <xdr:nvSpPr>
            <xdr:cNvPr id="37" name="Rectangle 3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6EADDC6E-B925-47E9-A517-A36E536F14A6}"/>
                </a:ext>
              </a:extLst>
            </xdr:cNvPr>
            <xdr:cNvSpPr/>
          </xdr:nvSpPr>
          <xdr:spPr>
            <a:xfrm>
              <a:off x="813816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CÀI</a:t>
              </a:r>
              <a:r>
                <a:rPr lang="en-US" sz="1100" b="1" baseline="0"/>
                <a:t> ĐẶT</a:t>
              </a:r>
              <a:endParaRPr lang="en-US" sz="1100" b="1"/>
            </a:p>
          </xdr:txBody>
        </xdr:sp>
        <xdr:sp macro="" textlink="">
          <xdr:nvSpPr>
            <xdr:cNvPr id="38" name="Rectangle 3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6F0DFD25-FE2A-4D6B-B2EB-5AAE8DD3503E}"/>
                </a:ext>
              </a:extLst>
            </xdr:cNvPr>
            <xdr:cNvSpPr/>
          </xdr:nvSpPr>
          <xdr:spPr>
            <a:xfrm>
              <a:off x="327279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3</a:t>
              </a:r>
            </a:p>
          </xdr:txBody>
        </xdr:sp>
        <xdr:sp macro="" textlink="">
          <xdr:nvSpPr>
            <xdr:cNvPr id="39" name="Rectangle 3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ECF3711F-FA50-44AA-9542-74CFA71E20F9}"/>
                </a:ext>
              </a:extLst>
            </xdr:cNvPr>
            <xdr:cNvSpPr/>
          </xdr:nvSpPr>
          <xdr:spPr>
            <a:xfrm>
              <a:off x="399859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4</a:t>
              </a:r>
            </a:p>
          </xdr:txBody>
        </xdr:sp>
        <xdr:sp macro="" textlink="">
          <xdr:nvSpPr>
            <xdr:cNvPr id="40" name="Rectangle 39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A2F13D48-9FFA-4422-903F-6FD2D35B4AD5}"/>
                </a:ext>
              </a:extLst>
            </xdr:cNvPr>
            <xdr:cNvSpPr/>
          </xdr:nvSpPr>
          <xdr:spPr>
            <a:xfrm>
              <a:off x="182118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</a:t>
              </a:r>
              <a:r>
                <a:rPr lang="en-US" sz="900" b="1" baseline="0"/>
                <a:t> 1</a:t>
              </a:r>
              <a:endParaRPr lang="en-US" sz="900" b="1"/>
            </a:p>
          </xdr:txBody>
        </xdr:sp>
        <xdr:sp macro="" textlink="">
          <xdr:nvSpPr>
            <xdr:cNvPr id="41" name="Rectangle 4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57CBD7CB-13BB-4E4C-AEA9-32F771C49473}"/>
                </a:ext>
              </a:extLst>
            </xdr:cNvPr>
            <xdr:cNvSpPr/>
          </xdr:nvSpPr>
          <xdr:spPr>
            <a:xfrm>
              <a:off x="980503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12</a:t>
              </a:r>
            </a:p>
          </xdr:txBody>
        </xdr:sp>
        <xdr:sp macro="" textlink="">
          <xdr:nvSpPr>
            <xdr:cNvPr id="42" name="Rectangle 4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86593B06-BBDF-4E3F-BD8C-861B2792CC11}"/>
                </a:ext>
              </a:extLst>
            </xdr:cNvPr>
            <xdr:cNvSpPr/>
          </xdr:nvSpPr>
          <xdr:spPr>
            <a:xfrm>
              <a:off x="254698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THÁNG</a:t>
              </a:r>
              <a:r>
                <a:rPr lang="en-US" sz="9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2</a:t>
              </a:r>
            </a:p>
          </xdr:txBody>
        </xdr:sp>
        <xdr:sp macro="" textlink="">
          <xdr:nvSpPr>
            <xdr:cNvPr id="43" name="Rectangle 42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4063E6DB-9B52-4E50-85B4-5A689EA1323C}"/>
                </a:ext>
              </a:extLst>
            </xdr:cNvPr>
            <xdr:cNvSpPr/>
          </xdr:nvSpPr>
          <xdr:spPr>
            <a:xfrm>
              <a:off x="472440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5</a:t>
              </a:r>
            </a:p>
          </xdr:txBody>
        </xdr:sp>
        <xdr:sp macro="" textlink="">
          <xdr:nvSpPr>
            <xdr:cNvPr id="44" name="Rectangle 43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C55A312E-36B2-4F9A-8B5A-BB9AF958000A}"/>
                </a:ext>
              </a:extLst>
            </xdr:cNvPr>
            <xdr:cNvSpPr/>
          </xdr:nvSpPr>
          <xdr:spPr>
            <a:xfrm>
              <a:off x="907923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11</a:t>
              </a:r>
            </a:p>
          </xdr:txBody>
        </xdr:sp>
        <xdr:sp macro="" textlink="">
          <xdr:nvSpPr>
            <xdr:cNvPr id="45" name="Rectangle 44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DB20D830-F04B-485F-862C-5817153F54C3}"/>
                </a:ext>
              </a:extLst>
            </xdr:cNvPr>
            <xdr:cNvSpPr/>
          </xdr:nvSpPr>
          <xdr:spPr>
            <a:xfrm>
              <a:off x="8353425" y="400050"/>
              <a:ext cx="720000" cy="144000"/>
            </a:xfrm>
            <a:prstGeom prst="rect">
              <a:avLst/>
            </a:prstGeom>
            <a:solidFill>
              <a:schemeClr val="bg1">
                <a:lumMod val="6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>
                  <a:solidFill>
                    <a:srgbClr val="FFFF00"/>
                  </a:solidFill>
                </a:rPr>
                <a:t>THÁNG 10</a:t>
              </a:r>
            </a:p>
          </xdr:txBody>
        </xdr:sp>
        <xdr:sp macro="" textlink="">
          <xdr:nvSpPr>
            <xdr:cNvPr id="46" name="Rectangle 45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76CBFC41-97A7-4809-8054-9D0EF05DD4D4}"/>
                </a:ext>
              </a:extLst>
            </xdr:cNvPr>
            <xdr:cNvSpPr/>
          </xdr:nvSpPr>
          <xdr:spPr>
            <a:xfrm>
              <a:off x="545020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6</a:t>
              </a:r>
            </a:p>
          </xdr:txBody>
        </xdr:sp>
        <xdr:sp macro="" textlink="">
          <xdr:nvSpPr>
            <xdr:cNvPr id="47" name="Rectangle 4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5C06D3BA-1D13-448D-97CE-C68FF036ACAA}"/>
                </a:ext>
              </a:extLst>
            </xdr:cNvPr>
            <xdr:cNvSpPr/>
          </xdr:nvSpPr>
          <xdr:spPr>
            <a:xfrm>
              <a:off x="617601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7</a:t>
              </a:r>
            </a:p>
          </xdr:txBody>
        </xdr:sp>
        <xdr:sp macro="" textlink="">
          <xdr:nvSpPr>
            <xdr:cNvPr id="48" name="Rectangle 4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7EBA20AD-C0FB-4EA2-A17E-975D2D8413DD}"/>
                </a:ext>
              </a:extLst>
            </xdr:cNvPr>
            <xdr:cNvSpPr/>
          </xdr:nvSpPr>
          <xdr:spPr>
            <a:xfrm>
              <a:off x="690181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8</a:t>
              </a:r>
            </a:p>
          </xdr:txBody>
        </xdr:sp>
        <xdr:sp macro="" textlink="">
          <xdr:nvSpPr>
            <xdr:cNvPr id="49" name="Rectangle 48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C9383316-619F-48E5-ADAC-A293D506B6F4}"/>
                </a:ext>
              </a:extLst>
            </xdr:cNvPr>
            <xdr:cNvSpPr/>
          </xdr:nvSpPr>
          <xdr:spPr>
            <a:xfrm>
              <a:off x="762762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9</a:t>
              </a:r>
            </a:p>
          </xdr:txBody>
        </xdr:sp>
      </xdr:grp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CC041E0C-AE5C-4D0C-BC90-8524C7E88E63}"/>
              </a:ext>
            </a:extLst>
          </xdr:cNvPr>
          <xdr:cNvSpPr txBox="1"/>
        </xdr:nvSpPr>
        <xdr:spPr>
          <a:xfrm>
            <a:off x="1226820" y="121920"/>
            <a:ext cx="1463040" cy="2514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i="1">
                <a:solidFill>
                  <a:schemeClr val="bg1"/>
                </a:solidFill>
              </a:rPr>
              <a:t>@Copyright</a:t>
            </a:r>
            <a:r>
              <a:rPr lang="en-US" sz="1000" i="1" baseline="0">
                <a:solidFill>
                  <a:schemeClr val="bg1"/>
                </a:solidFill>
              </a:rPr>
              <a:t> by MJK</a:t>
            </a:r>
            <a:endParaRPr lang="vi-VN" sz="1000" i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74</xdr:col>
      <xdr:colOff>601980</xdr:colOff>
      <xdr:row>3</xdr:row>
      <xdr:rowOff>18270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8121A2EE-7580-4D3D-BDFC-5C87D5E91541}"/>
            </a:ext>
          </a:extLst>
        </xdr:cNvPr>
        <xdr:cNvGrpSpPr/>
      </xdr:nvGrpSpPr>
      <xdr:grpSpPr>
        <a:xfrm>
          <a:off x="0" y="0"/>
          <a:ext cx="22075140" cy="566910"/>
          <a:chOff x="0" y="0"/>
          <a:chExt cx="22075140" cy="544050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6CFF0467-2C7A-47CD-B064-A1CEB8BD3797}"/>
              </a:ext>
            </a:extLst>
          </xdr:cNvPr>
          <xdr:cNvGrpSpPr/>
        </xdr:nvGrpSpPr>
        <xdr:grpSpPr>
          <a:xfrm>
            <a:off x="0" y="0"/>
            <a:ext cx="22075140" cy="544050"/>
            <a:chOff x="0" y="0"/>
            <a:chExt cx="22075140" cy="544050"/>
          </a:xfrm>
        </xdr:grpSpPr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15C3BD76-BC9E-4721-85B1-FA27A8280CF6}"/>
                </a:ext>
              </a:extLst>
            </xdr:cNvPr>
            <xdr:cNvSpPr/>
          </xdr:nvSpPr>
          <xdr:spPr>
            <a:xfrm>
              <a:off x="0" y="182880"/>
              <a:ext cx="22075140" cy="3600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2E2C2AFD-9DD0-4CF1-85F5-B26ACFAEA932}"/>
                </a:ext>
              </a:extLst>
            </xdr:cNvPr>
            <xdr:cNvSpPr/>
          </xdr:nvSpPr>
          <xdr:spPr>
            <a:xfrm>
              <a:off x="0" y="0"/>
              <a:ext cx="22075140" cy="360000"/>
            </a:xfrm>
            <a:prstGeom prst="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pic>
          <xdr:nvPicPr>
            <xdr:cNvPr id="30" name="Picture 29">
              <a:extLst>
                <a:ext uri="{FF2B5EF4-FFF2-40B4-BE49-F238E27FC236}">
                  <a16:creationId xmlns:a16="http://schemas.microsoft.com/office/drawing/2014/main" id="{7AEBA408-A06A-47DD-8F19-5A03F315D6D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41021" y="18000"/>
              <a:ext cx="324000" cy="324000"/>
            </a:xfrm>
            <a:prstGeom prst="rect">
              <a:avLst/>
            </a:prstGeom>
          </xdr:spPr>
        </xdr:pic>
        <xdr:pic>
          <xdr:nvPicPr>
            <xdr:cNvPr id="31" name="Picture 30">
              <a:extLst>
                <a:ext uri="{FF2B5EF4-FFF2-40B4-BE49-F238E27FC236}">
                  <a16:creationId xmlns:a16="http://schemas.microsoft.com/office/drawing/2014/main" id="{BD252BB0-E7C3-4AA1-9087-4D2523670C1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6780" y="18000"/>
              <a:ext cx="324000" cy="324000"/>
            </a:xfrm>
            <a:prstGeom prst="rect">
              <a:avLst/>
            </a:prstGeom>
          </xdr:spPr>
        </xdr:pic>
        <xdr:sp macro="" textlink="">
          <xdr:nvSpPr>
            <xdr:cNvPr id="32" name="Rectangle 3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4C3FD903-4295-4A9C-8DDC-F2C5A165258D}"/>
                </a:ext>
              </a:extLst>
            </xdr:cNvPr>
            <xdr:cNvSpPr/>
          </xdr:nvSpPr>
          <xdr:spPr>
            <a:xfrm>
              <a:off x="321564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HOME</a:t>
              </a:r>
            </a:p>
          </xdr:txBody>
        </xdr:sp>
        <xdr:sp macro="" textlink="">
          <xdr:nvSpPr>
            <xdr:cNvPr id="33" name="Rectangle 3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BDB6ED28-FC97-413E-8A2D-B977B0C57DAF}"/>
                </a:ext>
              </a:extLst>
            </xdr:cNvPr>
            <xdr:cNvSpPr/>
          </xdr:nvSpPr>
          <xdr:spPr>
            <a:xfrm>
              <a:off x="4200144" y="156210"/>
              <a:ext cx="972000" cy="1905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>
                  <a:solidFill>
                    <a:srgbClr val="002060"/>
                  </a:solidFill>
                </a:rPr>
                <a:t>CHẤM</a:t>
              </a:r>
              <a:r>
                <a:rPr lang="en-US" sz="1100" b="1" baseline="0">
                  <a:solidFill>
                    <a:srgbClr val="002060"/>
                  </a:solidFill>
                </a:rPr>
                <a:t> CÔNG</a:t>
              </a:r>
            </a:p>
            <a:p>
              <a:pPr algn="ctr"/>
              <a:endParaRPr lang="en-US" sz="1100" b="1">
                <a:solidFill>
                  <a:srgbClr val="002060"/>
                </a:solidFill>
              </a:endParaRPr>
            </a:p>
          </xdr:txBody>
        </xdr:sp>
        <xdr:sp macro="" textlink="">
          <xdr:nvSpPr>
            <xdr:cNvPr id="34" name="Rectangle 3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FE91562-BEFF-4C30-A593-52B83A4DB70F}"/>
                </a:ext>
              </a:extLst>
            </xdr:cNvPr>
            <xdr:cNvSpPr/>
          </xdr:nvSpPr>
          <xdr:spPr>
            <a:xfrm>
              <a:off x="5184648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BÁO</a:t>
              </a:r>
              <a:r>
                <a:rPr lang="en-US" sz="1100" b="1" baseline="0"/>
                <a:t> CÁO</a:t>
              </a:r>
              <a:endParaRPr lang="en-US" sz="1100" b="1"/>
            </a:p>
          </xdr:txBody>
        </xdr:sp>
        <xdr:sp macro="" textlink="">
          <xdr:nvSpPr>
            <xdr:cNvPr id="35" name="Rectangle 3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71E0BB6F-49EF-4350-B90F-143E349D7B66}"/>
                </a:ext>
              </a:extLst>
            </xdr:cNvPr>
            <xdr:cNvSpPr/>
          </xdr:nvSpPr>
          <xdr:spPr>
            <a:xfrm>
              <a:off x="6169152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B.</a:t>
              </a:r>
              <a:r>
                <a:rPr lang="en-US" sz="1100" b="1" baseline="0"/>
                <a:t> LƯƠNG</a:t>
              </a:r>
              <a:endParaRPr lang="en-US" sz="1100" b="1"/>
            </a:p>
          </xdr:txBody>
        </xdr:sp>
        <xdr:sp macro="" textlink="">
          <xdr:nvSpPr>
            <xdr:cNvPr id="36" name="Rectangle 3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27706E4-E910-43A6-948D-18911D24E50F}"/>
                </a:ext>
              </a:extLst>
            </xdr:cNvPr>
            <xdr:cNvSpPr/>
          </xdr:nvSpPr>
          <xdr:spPr>
            <a:xfrm>
              <a:off x="7153656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DS NV</a:t>
              </a:r>
            </a:p>
          </xdr:txBody>
        </xdr:sp>
        <xdr:sp macro="" textlink="">
          <xdr:nvSpPr>
            <xdr:cNvPr id="37" name="Rectangle 3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BCF3EBF0-1029-4290-A5B2-84DBD0912842}"/>
                </a:ext>
              </a:extLst>
            </xdr:cNvPr>
            <xdr:cNvSpPr/>
          </xdr:nvSpPr>
          <xdr:spPr>
            <a:xfrm>
              <a:off x="813816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CÀI</a:t>
              </a:r>
              <a:r>
                <a:rPr lang="en-US" sz="1100" b="1" baseline="0"/>
                <a:t> ĐẶT</a:t>
              </a:r>
              <a:endParaRPr lang="en-US" sz="1100" b="1"/>
            </a:p>
          </xdr:txBody>
        </xdr:sp>
        <xdr:sp macro="" textlink="">
          <xdr:nvSpPr>
            <xdr:cNvPr id="38" name="Rectangle 3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5543E48C-1715-4B4E-96CB-49722A981B77}"/>
                </a:ext>
              </a:extLst>
            </xdr:cNvPr>
            <xdr:cNvSpPr/>
          </xdr:nvSpPr>
          <xdr:spPr>
            <a:xfrm>
              <a:off x="327279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3</a:t>
              </a:r>
            </a:p>
          </xdr:txBody>
        </xdr:sp>
        <xdr:sp macro="" textlink="">
          <xdr:nvSpPr>
            <xdr:cNvPr id="39" name="Rectangle 3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9BC1480C-671F-4304-891E-2F989442AE9C}"/>
                </a:ext>
              </a:extLst>
            </xdr:cNvPr>
            <xdr:cNvSpPr/>
          </xdr:nvSpPr>
          <xdr:spPr>
            <a:xfrm>
              <a:off x="399859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4</a:t>
              </a:r>
            </a:p>
          </xdr:txBody>
        </xdr:sp>
        <xdr:sp macro="" textlink="">
          <xdr:nvSpPr>
            <xdr:cNvPr id="40" name="Rectangle 39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88721C1A-AE04-47C1-B455-972E3DD5FCF5}"/>
                </a:ext>
              </a:extLst>
            </xdr:cNvPr>
            <xdr:cNvSpPr/>
          </xdr:nvSpPr>
          <xdr:spPr>
            <a:xfrm>
              <a:off x="182118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</a:t>
              </a:r>
              <a:r>
                <a:rPr lang="en-US" sz="900" b="1" baseline="0"/>
                <a:t> 1</a:t>
              </a:r>
              <a:endParaRPr lang="en-US" sz="900" b="1"/>
            </a:p>
          </xdr:txBody>
        </xdr:sp>
        <xdr:sp macro="" textlink="">
          <xdr:nvSpPr>
            <xdr:cNvPr id="41" name="Rectangle 4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237E6497-05D8-469F-B85D-2E33C4375F95}"/>
                </a:ext>
              </a:extLst>
            </xdr:cNvPr>
            <xdr:cNvSpPr/>
          </xdr:nvSpPr>
          <xdr:spPr>
            <a:xfrm>
              <a:off x="980503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12</a:t>
              </a:r>
            </a:p>
          </xdr:txBody>
        </xdr:sp>
        <xdr:sp macro="" textlink="">
          <xdr:nvSpPr>
            <xdr:cNvPr id="42" name="Rectangle 4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A84F9F9D-A9F8-4C67-BFF6-1D455A9B7790}"/>
                </a:ext>
              </a:extLst>
            </xdr:cNvPr>
            <xdr:cNvSpPr/>
          </xdr:nvSpPr>
          <xdr:spPr>
            <a:xfrm>
              <a:off x="254698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THÁNG</a:t>
              </a:r>
              <a:r>
                <a:rPr lang="en-US" sz="9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2</a:t>
              </a:r>
            </a:p>
          </xdr:txBody>
        </xdr:sp>
        <xdr:sp macro="" textlink="">
          <xdr:nvSpPr>
            <xdr:cNvPr id="43" name="Rectangle 42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D6BA4CA3-F1FF-4A29-9060-C1017839758C}"/>
                </a:ext>
              </a:extLst>
            </xdr:cNvPr>
            <xdr:cNvSpPr/>
          </xdr:nvSpPr>
          <xdr:spPr>
            <a:xfrm>
              <a:off x="472440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5</a:t>
              </a:r>
            </a:p>
          </xdr:txBody>
        </xdr:sp>
        <xdr:sp macro="" textlink="">
          <xdr:nvSpPr>
            <xdr:cNvPr id="44" name="Rectangle 43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F811E8CA-A9C4-47E9-9F82-34B62B3959AA}"/>
                </a:ext>
              </a:extLst>
            </xdr:cNvPr>
            <xdr:cNvSpPr/>
          </xdr:nvSpPr>
          <xdr:spPr>
            <a:xfrm>
              <a:off x="9079230" y="400050"/>
              <a:ext cx="720000" cy="144000"/>
            </a:xfrm>
            <a:prstGeom prst="rect">
              <a:avLst/>
            </a:prstGeom>
            <a:solidFill>
              <a:schemeClr val="bg1">
                <a:lumMod val="6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>
                  <a:solidFill>
                    <a:srgbClr val="FFFF00"/>
                  </a:solidFill>
                </a:rPr>
                <a:t>THÁNG 11</a:t>
              </a:r>
            </a:p>
          </xdr:txBody>
        </xdr:sp>
        <xdr:sp macro="" textlink="">
          <xdr:nvSpPr>
            <xdr:cNvPr id="45" name="Rectangle 44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D4C46D7D-7AD8-4733-BFA0-FD21D5358332}"/>
                </a:ext>
              </a:extLst>
            </xdr:cNvPr>
            <xdr:cNvSpPr/>
          </xdr:nvSpPr>
          <xdr:spPr>
            <a:xfrm>
              <a:off x="835342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10</a:t>
              </a:r>
            </a:p>
          </xdr:txBody>
        </xdr:sp>
        <xdr:sp macro="" textlink="">
          <xdr:nvSpPr>
            <xdr:cNvPr id="46" name="Rectangle 45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8705829-D313-4302-87B7-D185B8CB6BB3}"/>
                </a:ext>
              </a:extLst>
            </xdr:cNvPr>
            <xdr:cNvSpPr/>
          </xdr:nvSpPr>
          <xdr:spPr>
            <a:xfrm>
              <a:off x="545020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6</a:t>
              </a:r>
            </a:p>
          </xdr:txBody>
        </xdr:sp>
        <xdr:sp macro="" textlink="">
          <xdr:nvSpPr>
            <xdr:cNvPr id="47" name="Rectangle 4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975B3417-0A5E-45F0-BF21-5461A457C7D1}"/>
                </a:ext>
              </a:extLst>
            </xdr:cNvPr>
            <xdr:cNvSpPr/>
          </xdr:nvSpPr>
          <xdr:spPr>
            <a:xfrm>
              <a:off x="617601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7</a:t>
              </a:r>
            </a:p>
          </xdr:txBody>
        </xdr:sp>
        <xdr:sp macro="" textlink="">
          <xdr:nvSpPr>
            <xdr:cNvPr id="48" name="Rectangle 4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36762543-7363-4A17-9C76-18072841603F}"/>
                </a:ext>
              </a:extLst>
            </xdr:cNvPr>
            <xdr:cNvSpPr/>
          </xdr:nvSpPr>
          <xdr:spPr>
            <a:xfrm>
              <a:off x="690181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8</a:t>
              </a:r>
            </a:p>
          </xdr:txBody>
        </xdr:sp>
        <xdr:sp macro="" textlink="">
          <xdr:nvSpPr>
            <xdr:cNvPr id="49" name="Rectangle 48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F7DD16EF-8871-4F1E-A029-4CEAE03BD92D}"/>
                </a:ext>
              </a:extLst>
            </xdr:cNvPr>
            <xdr:cNvSpPr/>
          </xdr:nvSpPr>
          <xdr:spPr>
            <a:xfrm>
              <a:off x="762762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9</a:t>
              </a:r>
            </a:p>
          </xdr:txBody>
        </xdr:sp>
      </xdr:grp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7EF883FE-96E1-430E-955B-04F469104538}"/>
              </a:ext>
            </a:extLst>
          </xdr:cNvPr>
          <xdr:cNvSpPr txBox="1"/>
        </xdr:nvSpPr>
        <xdr:spPr>
          <a:xfrm>
            <a:off x="1226820" y="121920"/>
            <a:ext cx="1463040" cy="2514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i="1">
                <a:solidFill>
                  <a:schemeClr val="bg1"/>
                </a:solidFill>
              </a:rPr>
              <a:t>@Copyright</a:t>
            </a:r>
            <a:r>
              <a:rPr lang="en-US" sz="1000" i="1" baseline="0">
                <a:solidFill>
                  <a:schemeClr val="bg1"/>
                </a:solidFill>
              </a:rPr>
              <a:t> by MJK</a:t>
            </a:r>
            <a:endParaRPr lang="vi-VN" sz="1000" i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74</xdr:col>
      <xdr:colOff>594360</xdr:colOff>
      <xdr:row>3</xdr:row>
      <xdr:rowOff>18270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74B7CAD8-D106-4218-A02D-179388C50605}"/>
            </a:ext>
          </a:extLst>
        </xdr:cNvPr>
        <xdr:cNvGrpSpPr/>
      </xdr:nvGrpSpPr>
      <xdr:grpSpPr>
        <a:xfrm>
          <a:off x="0" y="0"/>
          <a:ext cx="22067520" cy="566910"/>
          <a:chOff x="0" y="0"/>
          <a:chExt cx="22067520" cy="544050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AA202C0C-7C64-4E04-B736-423FA16934E0}"/>
              </a:ext>
            </a:extLst>
          </xdr:cNvPr>
          <xdr:cNvGrpSpPr/>
        </xdr:nvGrpSpPr>
        <xdr:grpSpPr>
          <a:xfrm>
            <a:off x="0" y="0"/>
            <a:ext cx="22067520" cy="544050"/>
            <a:chOff x="0" y="0"/>
            <a:chExt cx="22067520" cy="544050"/>
          </a:xfrm>
        </xdr:grpSpPr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C2DBF9EF-6F6E-4D76-9C13-EFED6F0CA48C}"/>
                </a:ext>
              </a:extLst>
            </xdr:cNvPr>
            <xdr:cNvSpPr/>
          </xdr:nvSpPr>
          <xdr:spPr>
            <a:xfrm>
              <a:off x="0" y="182880"/>
              <a:ext cx="22067520" cy="3600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EFBA4700-4312-4097-8395-1F40A4CF6909}"/>
                </a:ext>
              </a:extLst>
            </xdr:cNvPr>
            <xdr:cNvSpPr/>
          </xdr:nvSpPr>
          <xdr:spPr>
            <a:xfrm>
              <a:off x="0" y="0"/>
              <a:ext cx="22067520" cy="360000"/>
            </a:xfrm>
            <a:prstGeom prst="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pic>
          <xdr:nvPicPr>
            <xdr:cNvPr id="30" name="Picture 29">
              <a:extLst>
                <a:ext uri="{FF2B5EF4-FFF2-40B4-BE49-F238E27FC236}">
                  <a16:creationId xmlns:a16="http://schemas.microsoft.com/office/drawing/2014/main" id="{6C1B740A-C0EE-4AF0-8406-633A27A0342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41021" y="18000"/>
              <a:ext cx="324000" cy="324000"/>
            </a:xfrm>
            <a:prstGeom prst="rect">
              <a:avLst/>
            </a:prstGeom>
          </xdr:spPr>
        </xdr:pic>
        <xdr:pic>
          <xdr:nvPicPr>
            <xdr:cNvPr id="31" name="Picture 30">
              <a:extLst>
                <a:ext uri="{FF2B5EF4-FFF2-40B4-BE49-F238E27FC236}">
                  <a16:creationId xmlns:a16="http://schemas.microsoft.com/office/drawing/2014/main" id="{D6CC6B9E-05E2-4D3D-B3E4-0B7E3AA0E9B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6780" y="18000"/>
              <a:ext cx="324000" cy="324000"/>
            </a:xfrm>
            <a:prstGeom prst="rect">
              <a:avLst/>
            </a:prstGeom>
          </xdr:spPr>
        </xdr:pic>
        <xdr:sp macro="" textlink="">
          <xdr:nvSpPr>
            <xdr:cNvPr id="32" name="Rectangle 3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50F68259-8F60-4804-9A49-C41E1EE44EDC}"/>
                </a:ext>
              </a:extLst>
            </xdr:cNvPr>
            <xdr:cNvSpPr/>
          </xdr:nvSpPr>
          <xdr:spPr>
            <a:xfrm>
              <a:off x="321564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HOME</a:t>
              </a:r>
            </a:p>
          </xdr:txBody>
        </xdr:sp>
        <xdr:sp macro="" textlink="">
          <xdr:nvSpPr>
            <xdr:cNvPr id="33" name="Rectangle 3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35C4BDEA-1F47-429D-8292-EF26F3D6B22D}"/>
                </a:ext>
              </a:extLst>
            </xdr:cNvPr>
            <xdr:cNvSpPr/>
          </xdr:nvSpPr>
          <xdr:spPr>
            <a:xfrm>
              <a:off x="4200144" y="156210"/>
              <a:ext cx="972000" cy="1905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>
                  <a:solidFill>
                    <a:srgbClr val="002060"/>
                  </a:solidFill>
                </a:rPr>
                <a:t>CHẤM</a:t>
              </a:r>
              <a:r>
                <a:rPr lang="en-US" sz="1100" b="1" baseline="0">
                  <a:solidFill>
                    <a:srgbClr val="002060"/>
                  </a:solidFill>
                </a:rPr>
                <a:t> CÔNG</a:t>
              </a:r>
            </a:p>
            <a:p>
              <a:pPr algn="ctr"/>
              <a:endParaRPr lang="en-US" sz="1100" b="1">
                <a:solidFill>
                  <a:srgbClr val="002060"/>
                </a:solidFill>
              </a:endParaRPr>
            </a:p>
          </xdr:txBody>
        </xdr:sp>
        <xdr:sp macro="" textlink="">
          <xdr:nvSpPr>
            <xdr:cNvPr id="34" name="Rectangle 3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483881D-5840-4744-9CC1-92B8BDB89AFD}"/>
                </a:ext>
              </a:extLst>
            </xdr:cNvPr>
            <xdr:cNvSpPr/>
          </xdr:nvSpPr>
          <xdr:spPr>
            <a:xfrm>
              <a:off x="5184648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BÁO</a:t>
              </a:r>
              <a:r>
                <a:rPr lang="en-US" sz="1100" b="1" baseline="0"/>
                <a:t> CÁO</a:t>
              </a:r>
              <a:endParaRPr lang="en-US" sz="1100" b="1"/>
            </a:p>
          </xdr:txBody>
        </xdr:sp>
        <xdr:sp macro="" textlink="">
          <xdr:nvSpPr>
            <xdr:cNvPr id="35" name="Rectangle 3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B17EE38B-2FD5-457E-BFF6-124A6C61B75A}"/>
                </a:ext>
              </a:extLst>
            </xdr:cNvPr>
            <xdr:cNvSpPr/>
          </xdr:nvSpPr>
          <xdr:spPr>
            <a:xfrm>
              <a:off x="6169152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B.</a:t>
              </a:r>
              <a:r>
                <a:rPr lang="en-US" sz="1100" b="1" baseline="0"/>
                <a:t> LƯƠNG</a:t>
              </a:r>
              <a:endParaRPr lang="en-US" sz="1100" b="1"/>
            </a:p>
          </xdr:txBody>
        </xdr:sp>
        <xdr:sp macro="" textlink="">
          <xdr:nvSpPr>
            <xdr:cNvPr id="36" name="Rectangle 3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5353BA82-C242-47F3-BAB4-5D8DD05C2029}"/>
                </a:ext>
              </a:extLst>
            </xdr:cNvPr>
            <xdr:cNvSpPr/>
          </xdr:nvSpPr>
          <xdr:spPr>
            <a:xfrm>
              <a:off x="7153656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DS NV</a:t>
              </a:r>
            </a:p>
          </xdr:txBody>
        </xdr:sp>
        <xdr:sp macro="" textlink="">
          <xdr:nvSpPr>
            <xdr:cNvPr id="37" name="Rectangle 3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2A597BA1-6BBF-4385-AB22-3AECD09FD2F0}"/>
                </a:ext>
              </a:extLst>
            </xdr:cNvPr>
            <xdr:cNvSpPr/>
          </xdr:nvSpPr>
          <xdr:spPr>
            <a:xfrm>
              <a:off x="813816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CÀI</a:t>
              </a:r>
              <a:r>
                <a:rPr lang="en-US" sz="1100" b="1" baseline="0"/>
                <a:t> ĐẶT</a:t>
              </a:r>
              <a:endParaRPr lang="en-US" sz="1100" b="1"/>
            </a:p>
          </xdr:txBody>
        </xdr:sp>
        <xdr:sp macro="" textlink="">
          <xdr:nvSpPr>
            <xdr:cNvPr id="38" name="Rectangle 3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493BF69D-0FE4-4A7C-A1A2-1145BBBE049E}"/>
                </a:ext>
              </a:extLst>
            </xdr:cNvPr>
            <xdr:cNvSpPr/>
          </xdr:nvSpPr>
          <xdr:spPr>
            <a:xfrm>
              <a:off x="327279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3</a:t>
              </a:r>
            </a:p>
          </xdr:txBody>
        </xdr:sp>
        <xdr:sp macro="" textlink="">
          <xdr:nvSpPr>
            <xdr:cNvPr id="39" name="Rectangle 3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251BBD6-889B-4051-8497-05E029366806}"/>
                </a:ext>
              </a:extLst>
            </xdr:cNvPr>
            <xdr:cNvSpPr/>
          </xdr:nvSpPr>
          <xdr:spPr>
            <a:xfrm>
              <a:off x="399859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4</a:t>
              </a:r>
            </a:p>
          </xdr:txBody>
        </xdr:sp>
        <xdr:sp macro="" textlink="">
          <xdr:nvSpPr>
            <xdr:cNvPr id="40" name="Rectangle 39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8C0A2288-D302-4E02-B63C-D96E9C537596}"/>
                </a:ext>
              </a:extLst>
            </xdr:cNvPr>
            <xdr:cNvSpPr/>
          </xdr:nvSpPr>
          <xdr:spPr>
            <a:xfrm>
              <a:off x="182118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</a:t>
              </a:r>
              <a:r>
                <a:rPr lang="en-US" sz="900" b="1" baseline="0"/>
                <a:t> 1</a:t>
              </a:r>
              <a:endParaRPr lang="en-US" sz="900" b="1"/>
            </a:p>
          </xdr:txBody>
        </xdr:sp>
        <xdr:sp macro="" textlink="">
          <xdr:nvSpPr>
            <xdr:cNvPr id="41" name="Rectangle 4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E2B25872-ED72-4526-9A66-CD04B5D269E4}"/>
                </a:ext>
              </a:extLst>
            </xdr:cNvPr>
            <xdr:cNvSpPr/>
          </xdr:nvSpPr>
          <xdr:spPr>
            <a:xfrm>
              <a:off x="9805035" y="400050"/>
              <a:ext cx="720000" cy="144000"/>
            </a:xfrm>
            <a:prstGeom prst="rect">
              <a:avLst/>
            </a:prstGeom>
            <a:solidFill>
              <a:schemeClr val="bg1">
                <a:lumMod val="6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>
                  <a:solidFill>
                    <a:srgbClr val="FFFF00"/>
                  </a:solidFill>
                </a:rPr>
                <a:t>THÁNG 12</a:t>
              </a:r>
            </a:p>
          </xdr:txBody>
        </xdr:sp>
        <xdr:sp macro="" textlink="">
          <xdr:nvSpPr>
            <xdr:cNvPr id="42" name="Rectangle 4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59C3EC6E-360B-4D97-80D5-C14D7683F74F}"/>
                </a:ext>
              </a:extLst>
            </xdr:cNvPr>
            <xdr:cNvSpPr/>
          </xdr:nvSpPr>
          <xdr:spPr>
            <a:xfrm>
              <a:off x="254698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THÁNG</a:t>
              </a:r>
              <a:r>
                <a:rPr lang="en-US" sz="9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2</a:t>
              </a:r>
            </a:p>
          </xdr:txBody>
        </xdr:sp>
        <xdr:sp macro="" textlink="">
          <xdr:nvSpPr>
            <xdr:cNvPr id="43" name="Rectangle 42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9A3D54A1-CFDD-4AD0-902D-8CBAE098787E}"/>
                </a:ext>
              </a:extLst>
            </xdr:cNvPr>
            <xdr:cNvSpPr/>
          </xdr:nvSpPr>
          <xdr:spPr>
            <a:xfrm>
              <a:off x="472440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5</a:t>
              </a:r>
            </a:p>
          </xdr:txBody>
        </xdr:sp>
        <xdr:sp macro="" textlink="">
          <xdr:nvSpPr>
            <xdr:cNvPr id="44" name="Rectangle 43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E5780F28-C7F2-48A6-949B-FC18DB4566C4}"/>
                </a:ext>
              </a:extLst>
            </xdr:cNvPr>
            <xdr:cNvSpPr/>
          </xdr:nvSpPr>
          <xdr:spPr>
            <a:xfrm>
              <a:off x="907923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11</a:t>
              </a:r>
            </a:p>
          </xdr:txBody>
        </xdr:sp>
        <xdr:sp macro="" textlink="">
          <xdr:nvSpPr>
            <xdr:cNvPr id="45" name="Rectangle 44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97E238F8-DD73-4515-858E-C01D30423CF9}"/>
                </a:ext>
              </a:extLst>
            </xdr:cNvPr>
            <xdr:cNvSpPr/>
          </xdr:nvSpPr>
          <xdr:spPr>
            <a:xfrm>
              <a:off x="835342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10</a:t>
              </a:r>
            </a:p>
          </xdr:txBody>
        </xdr:sp>
        <xdr:sp macro="" textlink="">
          <xdr:nvSpPr>
            <xdr:cNvPr id="46" name="Rectangle 45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EC8F1D75-BA58-45C5-AA6B-190611D125AB}"/>
                </a:ext>
              </a:extLst>
            </xdr:cNvPr>
            <xdr:cNvSpPr/>
          </xdr:nvSpPr>
          <xdr:spPr>
            <a:xfrm>
              <a:off x="545020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6</a:t>
              </a:r>
            </a:p>
          </xdr:txBody>
        </xdr:sp>
        <xdr:sp macro="" textlink="">
          <xdr:nvSpPr>
            <xdr:cNvPr id="47" name="Rectangle 4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77C560-41EB-4CB5-BBB0-019290140A1F}"/>
                </a:ext>
              </a:extLst>
            </xdr:cNvPr>
            <xdr:cNvSpPr/>
          </xdr:nvSpPr>
          <xdr:spPr>
            <a:xfrm>
              <a:off x="617601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7</a:t>
              </a:r>
            </a:p>
          </xdr:txBody>
        </xdr:sp>
        <xdr:sp macro="" textlink="">
          <xdr:nvSpPr>
            <xdr:cNvPr id="48" name="Rectangle 4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7BEEC131-08CC-4405-AB49-A488D68FAAF3}"/>
                </a:ext>
              </a:extLst>
            </xdr:cNvPr>
            <xdr:cNvSpPr/>
          </xdr:nvSpPr>
          <xdr:spPr>
            <a:xfrm>
              <a:off x="690181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8</a:t>
              </a:r>
            </a:p>
          </xdr:txBody>
        </xdr:sp>
        <xdr:sp macro="" textlink="">
          <xdr:nvSpPr>
            <xdr:cNvPr id="49" name="Rectangle 48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E01A8F81-27C5-40B1-83CE-9114CB573F21}"/>
                </a:ext>
              </a:extLst>
            </xdr:cNvPr>
            <xdr:cNvSpPr/>
          </xdr:nvSpPr>
          <xdr:spPr>
            <a:xfrm>
              <a:off x="762762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THÁNG 9</a:t>
              </a:r>
            </a:p>
          </xdr:txBody>
        </xdr:sp>
      </xdr:grp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F5284241-69B5-4BD7-A935-ED273FA05E18}"/>
              </a:ext>
            </a:extLst>
          </xdr:cNvPr>
          <xdr:cNvSpPr txBox="1"/>
        </xdr:nvSpPr>
        <xdr:spPr>
          <a:xfrm>
            <a:off x="1226820" y="121920"/>
            <a:ext cx="1463040" cy="2514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i="1">
                <a:solidFill>
                  <a:schemeClr val="bg1"/>
                </a:solidFill>
              </a:rPr>
              <a:t>@Copyright</a:t>
            </a:r>
            <a:r>
              <a:rPr lang="en-US" sz="1000" i="1" baseline="0">
                <a:solidFill>
                  <a:schemeClr val="bg1"/>
                </a:solidFill>
              </a:rPr>
              <a:t> by MJK</a:t>
            </a:r>
            <a:endParaRPr lang="vi-VN" sz="1000" i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20</xdr:col>
      <xdr:colOff>601980</xdr:colOff>
      <xdr:row>3</xdr:row>
      <xdr:rowOff>18270</xdr:rowOff>
    </xdr:to>
    <xdr:grpSp>
      <xdr:nvGrpSpPr>
        <xdr:cNvPr id="91" name="Group 90">
          <a:extLst>
            <a:ext uri="{FF2B5EF4-FFF2-40B4-BE49-F238E27FC236}">
              <a16:creationId xmlns:a16="http://schemas.microsoft.com/office/drawing/2014/main" id="{9127E10D-8FE9-48F5-BE28-62D605A81A36}"/>
            </a:ext>
          </a:extLst>
        </xdr:cNvPr>
        <xdr:cNvGrpSpPr/>
      </xdr:nvGrpSpPr>
      <xdr:grpSpPr>
        <a:xfrm>
          <a:off x="0" y="0"/>
          <a:ext cx="13053060" cy="566910"/>
          <a:chOff x="0" y="0"/>
          <a:chExt cx="13053060" cy="544050"/>
        </a:xfrm>
      </xdr:grpSpPr>
      <xdr:grpSp>
        <xdr:nvGrpSpPr>
          <xdr:cNvPr id="92" name="Group 91">
            <a:extLst>
              <a:ext uri="{FF2B5EF4-FFF2-40B4-BE49-F238E27FC236}">
                <a16:creationId xmlns:a16="http://schemas.microsoft.com/office/drawing/2014/main" id="{E1E1401D-F54D-470B-BE13-14785FD41F54}"/>
              </a:ext>
            </a:extLst>
          </xdr:cNvPr>
          <xdr:cNvGrpSpPr/>
        </xdr:nvGrpSpPr>
        <xdr:grpSpPr>
          <a:xfrm>
            <a:off x="0" y="0"/>
            <a:ext cx="13053060" cy="544050"/>
            <a:chOff x="0" y="0"/>
            <a:chExt cx="13053060" cy="544050"/>
          </a:xfrm>
        </xdr:grpSpPr>
        <xdr:sp macro="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14E3B405-C4B0-4D9E-8B07-220647CA9D24}"/>
                </a:ext>
              </a:extLst>
            </xdr:cNvPr>
            <xdr:cNvSpPr/>
          </xdr:nvSpPr>
          <xdr:spPr>
            <a:xfrm>
              <a:off x="0" y="182880"/>
              <a:ext cx="13053060" cy="3600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sp macro="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DAE6991F-AABA-459A-9843-E0086EDB72A5}"/>
                </a:ext>
              </a:extLst>
            </xdr:cNvPr>
            <xdr:cNvSpPr/>
          </xdr:nvSpPr>
          <xdr:spPr>
            <a:xfrm>
              <a:off x="0" y="0"/>
              <a:ext cx="13053060" cy="360000"/>
            </a:xfrm>
            <a:prstGeom prst="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pic>
          <xdr:nvPicPr>
            <xdr:cNvPr id="96" name="Picture 95">
              <a:extLst>
                <a:ext uri="{FF2B5EF4-FFF2-40B4-BE49-F238E27FC236}">
                  <a16:creationId xmlns:a16="http://schemas.microsoft.com/office/drawing/2014/main" id="{37AC0A86-FD2E-42AA-AD60-B789491CC81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41021" y="18000"/>
              <a:ext cx="324000" cy="324000"/>
            </a:xfrm>
            <a:prstGeom prst="rect">
              <a:avLst/>
            </a:prstGeom>
          </xdr:spPr>
        </xdr:pic>
        <xdr:pic>
          <xdr:nvPicPr>
            <xdr:cNvPr id="97" name="Picture 96">
              <a:extLst>
                <a:ext uri="{FF2B5EF4-FFF2-40B4-BE49-F238E27FC236}">
                  <a16:creationId xmlns:a16="http://schemas.microsoft.com/office/drawing/2014/main" id="{A8E0C849-D8D3-4966-84F3-D27413B6C14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6780" y="18000"/>
              <a:ext cx="324000" cy="324000"/>
            </a:xfrm>
            <a:prstGeom prst="rect">
              <a:avLst/>
            </a:prstGeom>
          </xdr:spPr>
        </xdr:pic>
        <xdr:sp macro="" textlink="">
          <xdr:nvSpPr>
            <xdr:cNvPr id="98" name="Rectangle 97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B790A2C1-B186-4E87-B22E-FE6C193948F2}"/>
                </a:ext>
              </a:extLst>
            </xdr:cNvPr>
            <xdr:cNvSpPr/>
          </xdr:nvSpPr>
          <xdr:spPr>
            <a:xfrm>
              <a:off x="321564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HOME</a:t>
              </a:r>
            </a:p>
          </xdr:txBody>
        </xdr:sp>
        <xdr:sp macro="" textlink="">
          <xdr:nvSpPr>
            <xdr:cNvPr id="99" name="Rectangle 98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5393FF9E-960A-424B-9B96-FDA86A37E5BF}"/>
                </a:ext>
              </a:extLst>
            </xdr:cNvPr>
            <xdr:cNvSpPr/>
          </xdr:nvSpPr>
          <xdr:spPr>
            <a:xfrm>
              <a:off x="4200144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CHẤM</a:t>
              </a:r>
              <a:r>
                <a:rPr lang="en-US" sz="1100" b="1" baseline="0"/>
                <a:t> CÔNG</a:t>
              </a:r>
            </a:p>
            <a:p>
              <a:pPr algn="ctr"/>
              <a:endParaRPr lang="en-US" sz="1100" b="1"/>
            </a:p>
          </xdr:txBody>
        </xdr:sp>
        <xdr:sp macro="" textlink="">
          <xdr:nvSpPr>
            <xdr:cNvPr id="100" name="Rectangle 9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79BA7F42-D0AF-4A17-8FCE-FC2EFB7374BB}"/>
                </a:ext>
              </a:extLst>
            </xdr:cNvPr>
            <xdr:cNvSpPr/>
          </xdr:nvSpPr>
          <xdr:spPr>
            <a:xfrm>
              <a:off x="5184648" y="156210"/>
              <a:ext cx="972000" cy="1905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>
                  <a:solidFill>
                    <a:srgbClr val="002060"/>
                  </a:solidFill>
                </a:rPr>
                <a:t>BÁO</a:t>
              </a:r>
              <a:r>
                <a:rPr lang="en-US" sz="1100" b="1" baseline="0">
                  <a:solidFill>
                    <a:srgbClr val="002060"/>
                  </a:solidFill>
                </a:rPr>
                <a:t> CÁO</a:t>
              </a:r>
              <a:endParaRPr lang="en-US" sz="1100" b="1">
                <a:solidFill>
                  <a:srgbClr val="002060"/>
                </a:solidFill>
              </a:endParaRPr>
            </a:p>
          </xdr:txBody>
        </xdr:sp>
        <xdr:sp macro="" textlink="">
          <xdr:nvSpPr>
            <xdr:cNvPr id="101" name="Rectangle 100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4309A3B4-9E5E-4041-8664-06FCF5A864C4}"/>
                </a:ext>
              </a:extLst>
            </xdr:cNvPr>
            <xdr:cNvSpPr/>
          </xdr:nvSpPr>
          <xdr:spPr>
            <a:xfrm>
              <a:off x="6169152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B.</a:t>
              </a:r>
              <a:r>
                <a:rPr lang="en-US" sz="1100" b="1" baseline="0"/>
                <a:t> LƯƠNG</a:t>
              </a:r>
              <a:endParaRPr lang="en-US" sz="1100" b="1"/>
            </a:p>
          </xdr:txBody>
        </xdr:sp>
        <xdr:sp macro="" textlink="">
          <xdr:nvSpPr>
            <xdr:cNvPr id="102" name="Rectangle 10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EF52656D-493E-42AD-B92D-DF8553A57A41}"/>
                </a:ext>
              </a:extLst>
            </xdr:cNvPr>
            <xdr:cNvSpPr/>
          </xdr:nvSpPr>
          <xdr:spPr>
            <a:xfrm>
              <a:off x="7153656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DS NV</a:t>
              </a:r>
            </a:p>
          </xdr:txBody>
        </xdr:sp>
        <xdr:sp macro="" textlink="">
          <xdr:nvSpPr>
            <xdr:cNvPr id="103" name="Rectangle 10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2E969EE6-BC34-46D0-B308-3F060656DF1D}"/>
                </a:ext>
              </a:extLst>
            </xdr:cNvPr>
            <xdr:cNvSpPr/>
          </xdr:nvSpPr>
          <xdr:spPr>
            <a:xfrm>
              <a:off x="813816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CÀI</a:t>
              </a:r>
              <a:r>
                <a:rPr lang="en-US" sz="1100" b="1" baseline="0"/>
                <a:t> ĐẶT</a:t>
              </a:r>
              <a:endParaRPr lang="en-US" sz="1100" b="1"/>
            </a:p>
          </xdr:txBody>
        </xdr:sp>
        <xdr:sp macro="" textlink="">
          <xdr:nvSpPr>
            <xdr:cNvPr id="112" name="Rectangle 111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8158546C-CFE8-4367-BE30-52EB810CEB50}"/>
                </a:ext>
              </a:extLst>
            </xdr:cNvPr>
            <xdr:cNvSpPr/>
          </xdr:nvSpPr>
          <xdr:spPr>
            <a:xfrm>
              <a:off x="5450205" y="400050"/>
              <a:ext cx="720000" cy="144000"/>
            </a:xfrm>
            <a:prstGeom prst="rect">
              <a:avLst/>
            </a:prstGeom>
            <a:solidFill>
              <a:schemeClr val="bg1">
                <a:lumMod val="6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>
                  <a:solidFill>
                    <a:srgbClr val="FFFF00"/>
                  </a:solidFill>
                </a:rPr>
                <a:t>ALL</a:t>
              </a:r>
            </a:p>
          </xdr:txBody>
        </xdr:sp>
        <xdr:sp macro="" textlink="">
          <xdr:nvSpPr>
            <xdr:cNvPr id="113" name="Rectangle 11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6B0FE904-1106-486B-BDCC-082EAAB9ED98}"/>
                </a:ext>
              </a:extLst>
            </xdr:cNvPr>
            <xdr:cNvSpPr/>
          </xdr:nvSpPr>
          <xdr:spPr>
            <a:xfrm>
              <a:off x="617601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PERSON</a:t>
              </a:r>
            </a:p>
          </xdr:txBody>
        </xdr:sp>
      </xdr:grpSp>
      <xdr:sp macro="" textlink="">
        <xdr:nvSpPr>
          <xdr:cNvPr id="93" name="TextBox 92">
            <a:extLst>
              <a:ext uri="{FF2B5EF4-FFF2-40B4-BE49-F238E27FC236}">
                <a16:creationId xmlns:a16="http://schemas.microsoft.com/office/drawing/2014/main" id="{3DB3F323-D8F9-4419-B65E-2B73BA6BF19A}"/>
              </a:ext>
            </a:extLst>
          </xdr:cNvPr>
          <xdr:cNvSpPr txBox="1"/>
        </xdr:nvSpPr>
        <xdr:spPr>
          <a:xfrm>
            <a:off x="1226820" y="121920"/>
            <a:ext cx="1463040" cy="2514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i="1">
                <a:solidFill>
                  <a:schemeClr val="bg1"/>
                </a:solidFill>
              </a:rPr>
              <a:t>@Copyright</a:t>
            </a:r>
            <a:r>
              <a:rPr lang="en-US" sz="1000" i="1" baseline="0">
                <a:solidFill>
                  <a:schemeClr val="bg1"/>
                </a:solidFill>
              </a:rPr>
              <a:t> by MJK</a:t>
            </a:r>
            <a:endParaRPr lang="vi-VN" sz="1000" i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502920</xdr:colOff>
      <xdr:row>4</xdr:row>
      <xdr:rowOff>171450</xdr:rowOff>
    </xdr:from>
    <xdr:to>
      <xdr:col>14</xdr:col>
      <xdr:colOff>85320</xdr:colOff>
      <xdr:row>14</xdr:row>
      <xdr:rowOff>91170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438AAA-2A54-413A-A6A2-44F72268DB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510540</xdr:colOff>
      <xdr:row>14</xdr:row>
      <xdr:rowOff>118110</xdr:rowOff>
    </xdr:from>
    <xdr:to>
      <xdr:col>14</xdr:col>
      <xdr:colOff>92940</xdr:colOff>
      <xdr:row>26</xdr:row>
      <xdr:rowOff>174990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8E53784-97E8-4B79-8F1E-9B3398C1CD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16384</xdr:col>
      <xdr:colOff>15240</xdr:colOff>
      <xdr:row>3</xdr:row>
      <xdr:rowOff>18270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85255290-3F29-443E-B57A-F34E8C73B2E7}"/>
            </a:ext>
          </a:extLst>
        </xdr:cNvPr>
        <xdr:cNvGrpSpPr/>
      </xdr:nvGrpSpPr>
      <xdr:grpSpPr>
        <a:xfrm>
          <a:off x="0" y="0"/>
          <a:ext cx="14287500" cy="566910"/>
          <a:chOff x="0" y="0"/>
          <a:chExt cx="14287500" cy="544050"/>
        </a:xfrm>
      </xdr:grpSpPr>
      <xdr:grpSp>
        <xdr:nvGrpSpPr>
          <xdr:cNvPr id="70" name="Group 69">
            <a:extLst>
              <a:ext uri="{FF2B5EF4-FFF2-40B4-BE49-F238E27FC236}">
                <a16:creationId xmlns:a16="http://schemas.microsoft.com/office/drawing/2014/main" id="{2F463426-3EBD-4E48-82F7-2A068FE6BAD4}"/>
              </a:ext>
            </a:extLst>
          </xdr:cNvPr>
          <xdr:cNvGrpSpPr/>
        </xdr:nvGrpSpPr>
        <xdr:grpSpPr>
          <a:xfrm>
            <a:off x="0" y="0"/>
            <a:ext cx="14287500" cy="544050"/>
            <a:chOff x="0" y="0"/>
            <a:chExt cx="14287500" cy="544050"/>
          </a:xfrm>
        </xdr:grpSpPr>
        <xdr:sp macro="" textlink="">
          <xdr:nvSpPr>
            <xdr:cNvPr id="72" name="Rectangle 71">
              <a:extLst>
                <a:ext uri="{FF2B5EF4-FFF2-40B4-BE49-F238E27FC236}">
                  <a16:creationId xmlns:a16="http://schemas.microsoft.com/office/drawing/2014/main" id="{F39EBF8E-B72D-43AB-99ED-91D475083775}"/>
                </a:ext>
              </a:extLst>
            </xdr:cNvPr>
            <xdr:cNvSpPr/>
          </xdr:nvSpPr>
          <xdr:spPr>
            <a:xfrm>
              <a:off x="0" y="182880"/>
              <a:ext cx="14287500" cy="3600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43563848-8C56-4417-8AA7-86945B83BD8D}"/>
                </a:ext>
              </a:extLst>
            </xdr:cNvPr>
            <xdr:cNvSpPr/>
          </xdr:nvSpPr>
          <xdr:spPr>
            <a:xfrm>
              <a:off x="0" y="0"/>
              <a:ext cx="14287500" cy="360000"/>
            </a:xfrm>
            <a:prstGeom prst="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pic>
          <xdr:nvPicPr>
            <xdr:cNvPr id="74" name="Picture 73">
              <a:extLst>
                <a:ext uri="{FF2B5EF4-FFF2-40B4-BE49-F238E27FC236}">
                  <a16:creationId xmlns:a16="http://schemas.microsoft.com/office/drawing/2014/main" id="{7B29BD12-19E6-4DC6-BFB5-ADF08E9D0BC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41021" y="18000"/>
              <a:ext cx="324000" cy="324000"/>
            </a:xfrm>
            <a:prstGeom prst="rect">
              <a:avLst/>
            </a:prstGeom>
          </xdr:spPr>
        </xdr:pic>
        <xdr:pic>
          <xdr:nvPicPr>
            <xdr:cNvPr id="75" name="Picture 74">
              <a:extLst>
                <a:ext uri="{FF2B5EF4-FFF2-40B4-BE49-F238E27FC236}">
                  <a16:creationId xmlns:a16="http://schemas.microsoft.com/office/drawing/2014/main" id="{66ACB20F-576D-4E26-A198-123B721EA35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6780" y="18000"/>
              <a:ext cx="324000" cy="324000"/>
            </a:xfrm>
            <a:prstGeom prst="rect">
              <a:avLst/>
            </a:prstGeom>
          </xdr:spPr>
        </xdr:pic>
        <xdr:sp macro="" textlink="">
          <xdr:nvSpPr>
            <xdr:cNvPr id="76" name="Rectangle 7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CCEDA5EA-5EC3-48DF-9FFF-4F4441B99444}"/>
                </a:ext>
              </a:extLst>
            </xdr:cNvPr>
            <xdr:cNvSpPr/>
          </xdr:nvSpPr>
          <xdr:spPr>
            <a:xfrm>
              <a:off x="321564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HOME</a:t>
              </a:r>
            </a:p>
          </xdr:txBody>
        </xdr:sp>
        <xdr:sp macro="" textlink="">
          <xdr:nvSpPr>
            <xdr:cNvPr id="77" name="Rectangle 76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DD9BF7E1-BC5E-471E-A16A-E50BFD20E7E8}"/>
                </a:ext>
              </a:extLst>
            </xdr:cNvPr>
            <xdr:cNvSpPr/>
          </xdr:nvSpPr>
          <xdr:spPr>
            <a:xfrm>
              <a:off x="4200144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CHẤM</a:t>
              </a:r>
              <a:r>
                <a:rPr lang="en-US" sz="1100" b="1" baseline="0"/>
                <a:t> CÔNG</a:t>
              </a:r>
            </a:p>
            <a:p>
              <a:pPr algn="ctr"/>
              <a:endParaRPr lang="en-US" sz="1100" b="1"/>
            </a:p>
          </xdr:txBody>
        </xdr:sp>
        <xdr:sp macro="" textlink="">
          <xdr:nvSpPr>
            <xdr:cNvPr id="78" name="Rectangle 77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95E5061B-2F4B-4243-8B2F-DB07157AB675}"/>
                </a:ext>
              </a:extLst>
            </xdr:cNvPr>
            <xdr:cNvSpPr/>
          </xdr:nvSpPr>
          <xdr:spPr>
            <a:xfrm>
              <a:off x="5184648" y="156210"/>
              <a:ext cx="972000" cy="1905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>
                  <a:solidFill>
                    <a:srgbClr val="002060"/>
                  </a:solidFill>
                </a:rPr>
                <a:t>BÁO</a:t>
              </a:r>
              <a:r>
                <a:rPr lang="en-US" sz="1100" b="1" baseline="0">
                  <a:solidFill>
                    <a:srgbClr val="002060"/>
                  </a:solidFill>
                </a:rPr>
                <a:t> CÁO</a:t>
              </a:r>
              <a:endParaRPr lang="en-US" sz="1100" b="1">
                <a:solidFill>
                  <a:srgbClr val="002060"/>
                </a:solidFill>
              </a:endParaRPr>
            </a:p>
          </xdr:txBody>
        </xdr:sp>
        <xdr:sp macro="" textlink="">
          <xdr:nvSpPr>
            <xdr:cNvPr id="79" name="Rectangle 78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9AFE47A2-65AA-4331-9012-647655B80814}"/>
                </a:ext>
              </a:extLst>
            </xdr:cNvPr>
            <xdr:cNvSpPr/>
          </xdr:nvSpPr>
          <xdr:spPr>
            <a:xfrm>
              <a:off x="6169152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B.</a:t>
              </a:r>
              <a:r>
                <a:rPr lang="en-US" sz="1100" b="1" baseline="0"/>
                <a:t> LƯƠNG</a:t>
              </a:r>
              <a:endParaRPr lang="en-US" sz="1100" b="1"/>
            </a:p>
          </xdr:txBody>
        </xdr:sp>
        <xdr:sp macro="" textlink="">
          <xdr:nvSpPr>
            <xdr:cNvPr id="80" name="Rectangle 79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C7A74ACB-CFF3-4445-AE6C-0C5CC64A70D9}"/>
                </a:ext>
              </a:extLst>
            </xdr:cNvPr>
            <xdr:cNvSpPr/>
          </xdr:nvSpPr>
          <xdr:spPr>
            <a:xfrm>
              <a:off x="7153656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DS NV</a:t>
              </a:r>
            </a:p>
          </xdr:txBody>
        </xdr:sp>
        <xdr:sp macro="" textlink="">
          <xdr:nvSpPr>
            <xdr:cNvPr id="81" name="Rectangle 8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99B6FB56-3AC0-4357-95A9-8FFD227C7E6F}"/>
                </a:ext>
              </a:extLst>
            </xdr:cNvPr>
            <xdr:cNvSpPr/>
          </xdr:nvSpPr>
          <xdr:spPr>
            <a:xfrm>
              <a:off x="813816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CÀI</a:t>
              </a:r>
              <a:r>
                <a:rPr lang="en-US" sz="1100" b="1" baseline="0"/>
                <a:t> ĐẶT</a:t>
              </a:r>
              <a:endParaRPr lang="en-US" sz="1100" b="1"/>
            </a:p>
          </xdr:txBody>
        </xdr:sp>
        <xdr:sp macro="" textlink="">
          <xdr:nvSpPr>
            <xdr:cNvPr id="82" name="Rectangle 8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B586E445-B536-406A-B49B-62E40699D1CB}"/>
                </a:ext>
              </a:extLst>
            </xdr:cNvPr>
            <xdr:cNvSpPr/>
          </xdr:nvSpPr>
          <xdr:spPr>
            <a:xfrm>
              <a:off x="545020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ALL</a:t>
              </a:r>
            </a:p>
          </xdr:txBody>
        </xdr:sp>
        <xdr:sp macro="" textlink="">
          <xdr:nvSpPr>
            <xdr:cNvPr id="83" name="Rectangle 82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778202B3-37D7-4139-A8B9-8FDDDE13E128}"/>
                </a:ext>
              </a:extLst>
            </xdr:cNvPr>
            <xdr:cNvSpPr/>
          </xdr:nvSpPr>
          <xdr:spPr>
            <a:xfrm>
              <a:off x="6176010" y="400050"/>
              <a:ext cx="720000" cy="144000"/>
            </a:xfrm>
            <a:prstGeom prst="rect">
              <a:avLst/>
            </a:prstGeom>
            <a:solidFill>
              <a:schemeClr val="bg1">
                <a:lumMod val="6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>
                  <a:solidFill>
                    <a:srgbClr val="FFFF00"/>
                  </a:solidFill>
                </a:rPr>
                <a:t>PERSON</a:t>
              </a:r>
            </a:p>
          </xdr:txBody>
        </xdr:sp>
      </xdr:grp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0F08A464-B5E5-4DE9-8216-22092768CAA6}"/>
              </a:ext>
            </a:extLst>
          </xdr:cNvPr>
          <xdr:cNvSpPr txBox="1"/>
        </xdr:nvSpPr>
        <xdr:spPr>
          <a:xfrm>
            <a:off x="1226820" y="121920"/>
            <a:ext cx="1463040" cy="2514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i="1">
                <a:solidFill>
                  <a:schemeClr val="bg1"/>
                </a:solidFill>
              </a:rPr>
              <a:t>@Copyright</a:t>
            </a:r>
            <a:r>
              <a:rPr lang="en-US" sz="1000" i="1" baseline="0">
                <a:solidFill>
                  <a:schemeClr val="bg1"/>
                </a:solidFill>
              </a:rPr>
              <a:t> by MJK</a:t>
            </a:r>
            <a:endParaRPr lang="vi-VN" sz="1000" i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457200</xdr:colOff>
      <xdr:row>5</xdr:row>
      <xdr:rowOff>15240</xdr:rowOff>
    </xdr:from>
    <xdr:to>
      <xdr:col>22</xdr:col>
      <xdr:colOff>403860</xdr:colOff>
      <xdr:row>27</xdr:row>
      <xdr:rowOff>160020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6A17CCA4-3F31-46FB-AC81-643379E334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20</xdr:col>
      <xdr:colOff>358140</xdr:colOff>
      <xdr:row>5</xdr:row>
      <xdr:rowOff>99060</xdr:rowOff>
    </xdr:from>
    <xdr:to>
      <xdr:col>22</xdr:col>
      <xdr:colOff>7620</xdr:colOff>
      <xdr:row>6</xdr:row>
      <xdr:rowOff>53340</xdr:rowOff>
    </xdr:to>
    <xdr:sp macro="[0]!Refresh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18DFB7F-5D80-4014-9F96-F62F0BF72A47}"/>
            </a:ext>
          </a:extLst>
        </xdr:cNvPr>
        <xdr:cNvSpPr/>
      </xdr:nvSpPr>
      <xdr:spPr>
        <a:xfrm>
          <a:off x="11963400" y="975360"/>
          <a:ext cx="868680" cy="266700"/>
        </a:xfrm>
        <a:prstGeom prst="roundRect">
          <a:avLst/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  <a:endParaRPr lang="vi-VN" sz="11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21</xdr:col>
      <xdr:colOff>0</xdr:colOff>
      <xdr:row>3</xdr:row>
      <xdr:rowOff>18270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CB876B75-3FF4-4EFC-9AD9-A6F3710403D1}"/>
            </a:ext>
          </a:extLst>
        </xdr:cNvPr>
        <xdr:cNvGrpSpPr/>
      </xdr:nvGrpSpPr>
      <xdr:grpSpPr>
        <a:xfrm>
          <a:off x="0" y="0"/>
          <a:ext cx="13190220" cy="566910"/>
          <a:chOff x="0" y="0"/>
          <a:chExt cx="13190220" cy="544050"/>
        </a:xfrm>
      </xdr:grpSpPr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6AEA92F7-A38E-40DC-9A70-AD3FFD67F2B8}"/>
              </a:ext>
            </a:extLst>
          </xdr:cNvPr>
          <xdr:cNvGrpSpPr/>
        </xdr:nvGrpSpPr>
        <xdr:grpSpPr>
          <a:xfrm>
            <a:off x="0" y="0"/>
            <a:ext cx="13190220" cy="544050"/>
            <a:chOff x="0" y="0"/>
            <a:chExt cx="13190220" cy="544050"/>
          </a:xfrm>
        </xdr:grpSpPr>
        <xdr:sp macro="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B2E5087F-292B-4559-A20B-28405FA5DB53}"/>
                </a:ext>
              </a:extLst>
            </xdr:cNvPr>
            <xdr:cNvSpPr/>
          </xdr:nvSpPr>
          <xdr:spPr>
            <a:xfrm>
              <a:off x="0" y="182880"/>
              <a:ext cx="13190220" cy="3600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sp macro="" textlink="">
          <xdr:nvSpPr>
            <xdr:cNvPr id="54" name="Rectangle 53">
              <a:extLst>
                <a:ext uri="{FF2B5EF4-FFF2-40B4-BE49-F238E27FC236}">
                  <a16:creationId xmlns:a16="http://schemas.microsoft.com/office/drawing/2014/main" id="{557A2135-63C9-46EA-9C18-DBBB73EC6F3A}"/>
                </a:ext>
              </a:extLst>
            </xdr:cNvPr>
            <xdr:cNvSpPr/>
          </xdr:nvSpPr>
          <xdr:spPr>
            <a:xfrm>
              <a:off x="0" y="0"/>
              <a:ext cx="13190220" cy="360000"/>
            </a:xfrm>
            <a:prstGeom prst="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pic>
          <xdr:nvPicPr>
            <xdr:cNvPr id="55" name="Picture 54">
              <a:extLst>
                <a:ext uri="{FF2B5EF4-FFF2-40B4-BE49-F238E27FC236}">
                  <a16:creationId xmlns:a16="http://schemas.microsoft.com/office/drawing/2014/main" id="{D087587E-D108-421D-8A33-92DFE1F49A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41021" y="18000"/>
              <a:ext cx="324000" cy="324000"/>
            </a:xfrm>
            <a:prstGeom prst="rect">
              <a:avLst/>
            </a:prstGeom>
          </xdr:spPr>
        </xdr:pic>
        <xdr:pic>
          <xdr:nvPicPr>
            <xdr:cNvPr id="56" name="Picture 55">
              <a:extLst>
                <a:ext uri="{FF2B5EF4-FFF2-40B4-BE49-F238E27FC236}">
                  <a16:creationId xmlns:a16="http://schemas.microsoft.com/office/drawing/2014/main" id="{FA73FABD-7220-484F-B0BC-40D304C4BC7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6780" y="18000"/>
              <a:ext cx="324000" cy="324000"/>
            </a:xfrm>
            <a:prstGeom prst="rect">
              <a:avLst/>
            </a:prstGeom>
          </xdr:spPr>
        </xdr:pic>
        <xdr:sp macro="" textlink="">
          <xdr:nvSpPr>
            <xdr:cNvPr id="57" name="Rectangle 56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E8842613-FD77-4136-A7F3-62490F684251}"/>
                </a:ext>
              </a:extLst>
            </xdr:cNvPr>
            <xdr:cNvSpPr/>
          </xdr:nvSpPr>
          <xdr:spPr>
            <a:xfrm>
              <a:off x="321564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HOME</a:t>
              </a:r>
            </a:p>
          </xdr:txBody>
        </xdr:sp>
        <xdr:sp macro="" textlink="">
          <xdr:nvSpPr>
            <xdr:cNvPr id="58" name="Rectangle 57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BCBE02FB-4261-4478-A546-03C23E8C81C9}"/>
                </a:ext>
              </a:extLst>
            </xdr:cNvPr>
            <xdr:cNvSpPr/>
          </xdr:nvSpPr>
          <xdr:spPr>
            <a:xfrm>
              <a:off x="4200144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CHẤM</a:t>
              </a:r>
              <a:r>
                <a:rPr lang="en-US" sz="1100" b="1" baseline="0"/>
                <a:t> CÔNG</a:t>
              </a:r>
            </a:p>
            <a:p>
              <a:pPr algn="ctr"/>
              <a:endParaRPr lang="en-US" sz="1100" b="1"/>
            </a:p>
          </xdr:txBody>
        </xdr:sp>
        <xdr:sp macro="" textlink="">
          <xdr:nvSpPr>
            <xdr:cNvPr id="59" name="Rectangle 58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BA892EA7-94D8-482D-9BDE-E17EFAB564EF}"/>
                </a:ext>
              </a:extLst>
            </xdr:cNvPr>
            <xdr:cNvSpPr/>
          </xdr:nvSpPr>
          <xdr:spPr>
            <a:xfrm>
              <a:off x="5184648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BÁO</a:t>
              </a:r>
              <a:r>
                <a:rPr lang="en-US" sz="1100" b="1" baseline="0"/>
                <a:t> CÁO</a:t>
              </a:r>
              <a:endParaRPr lang="en-US" sz="1100" b="1"/>
            </a:p>
          </xdr:txBody>
        </xdr:sp>
        <xdr:sp macro="" textlink="">
          <xdr:nvSpPr>
            <xdr:cNvPr id="60" name="Rectangle 59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19F111EA-2BA5-4AB7-B076-EAA0B1DF68C3}"/>
                </a:ext>
              </a:extLst>
            </xdr:cNvPr>
            <xdr:cNvSpPr/>
          </xdr:nvSpPr>
          <xdr:spPr>
            <a:xfrm>
              <a:off x="6169152" y="156210"/>
              <a:ext cx="972000" cy="1905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>
                  <a:solidFill>
                    <a:srgbClr val="002060"/>
                  </a:solidFill>
                </a:rPr>
                <a:t>B.</a:t>
              </a:r>
              <a:r>
                <a:rPr lang="en-US" sz="1100" b="1" baseline="0">
                  <a:solidFill>
                    <a:srgbClr val="002060"/>
                  </a:solidFill>
                </a:rPr>
                <a:t> LƯƠNG</a:t>
              </a:r>
              <a:endParaRPr lang="en-US" sz="1100" b="1">
                <a:solidFill>
                  <a:srgbClr val="002060"/>
                </a:solidFill>
              </a:endParaRPr>
            </a:p>
          </xdr:txBody>
        </xdr:sp>
        <xdr:sp macro="" textlink="">
          <xdr:nvSpPr>
            <xdr:cNvPr id="61" name="Rectangle 6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741349AF-B74E-4225-95D2-3DE6506CDE0A}"/>
                </a:ext>
              </a:extLst>
            </xdr:cNvPr>
            <xdr:cNvSpPr/>
          </xdr:nvSpPr>
          <xdr:spPr>
            <a:xfrm>
              <a:off x="7153656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DS NV</a:t>
              </a:r>
            </a:p>
          </xdr:txBody>
        </xdr:sp>
        <xdr:sp macro="" textlink="">
          <xdr:nvSpPr>
            <xdr:cNvPr id="62" name="Rectangle 61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3E6C0052-CBC7-43D0-9FCA-04BEC85BAAD6}"/>
                </a:ext>
              </a:extLst>
            </xdr:cNvPr>
            <xdr:cNvSpPr/>
          </xdr:nvSpPr>
          <xdr:spPr>
            <a:xfrm>
              <a:off x="813816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CÀI</a:t>
              </a:r>
              <a:r>
                <a:rPr lang="en-US" sz="1100" b="1" baseline="0"/>
                <a:t> ĐẶT</a:t>
              </a:r>
              <a:endParaRPr lang="en-US" sz="1100" b="1"/>
            </a:p>
          </xdr:txBody>
        </xdr:sp>
        <xdr:sp macro="" textlink="">
          <xdr:nvSpPr>
            <xdr:cNvPr id="63" name="Rectangle 62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3AAA9218-EEB8-47CC-9B3E-92B5FD7137AD}"/>
                </a:ext>
              </a:extLst>
            </xdr:cNvPr>
            <xdr:cNvSpPr/>
          </xdr:nvSpPr>
          <xdr:spPr>
            <a:xfrm>
              <a:off x="5450205" y="400050"/>
              <a:ext cx="720000" cy="144000"/>
            </a:xfrm>
            <a:prstGeom prst="rect">
              <a:avLst/>
            </a:prstGeom>
            <a:solidFill>
              <a:schemeClr val="bg1">
                <a:lumMod val="6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>
                  <a:solidFill>
                    <a:srgbClr val="FFFF00"/>
                  </a:solidFill>
                </a:rPr>
                <a:t>B. LƯƠNG</a:t>
              </a:r>
            </a:p>
          </xdr:txBody>
        </xdr:sp>
        <xdr:sp macro="" textlink="">
          <xdr:nvSpPr>
            <xdr:cNvPr id="64" name="Rectangle 6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53C86F4C-79C6-4BE5-B295-5B806F0AA7F9}"/>
                </a:ext>
              </a:extLst>
            </xdr:cNvPr>
            <xdr:cNvSpPr/>
          </xdr:nvSpPr>
          <xdr:spPr>
            <a:xfrm>
              <a:off x="6176010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P.</a:t>
              </a:r>
              <a:r>
                <a:rPr lang="en-US" sz="900" b="1" baseline="0"/>
                <a:t> LƯƠNG</a:t>
              </a:r>
            </a:p>
          </xdr:txBody>
        </xdr:sp>
      </xdr:grp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19A972D1-6289-4961-B006-D621D06102BB}"/>
              </a:ext>
            </a:extLst>
          </xdr:cNvPr>
          <xdr:cNvSpPr txBox="1"/>
        </xdr:nvSpPr>
        <xdr:spPr>
          <a:xfrm>
            <a:off x="1226820" y="121920"/>
            <a:ext cx="1463040" cy="2514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i="1">
                <a:solidFill>
                  <a:schemeClr val="bg1"/>
                </a:solidFill>
              </a:rPr>
              <a:t>@Copyright</a:t>
            </a:r>
            <a:r>
              <a:rPr lang="en-US" sz="1000" i="1" baseline="0">
                <a:solidFill>
                  <a:schemeClr val="bg1"/>
                </a:solidFill>
              </a:rPr>
              <a:t> by MJK</a:t>
            </a:r>
            <a:endParaRPr lang="vi-VN" sz="1000" i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19</xdr:col>
      <xdr:colOff>594360</xdr:colOff>
      <xdr:row>3</xdr:row>
      <xdr:rowOff>18270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20CB1A2B-4B4E-42F5-AB19-61563B3CC067}"/>
            </a:ext>
          </a:extLst>
        </xdr:cNvPr>
        <xdr:cNvGrpSpPr/>
      </xdr:nvGrpSpPr>
      <xdr:grpSpPr>
        <a:xfrm>
          <a:off x="0" y="0"/>
          <a:ext cx="13220700" cy="566910"/>
          <a:chOff x="0" y="0"/>
          <a:chExt cx="13220700" cy="544050"/>
        </a:xfrm>
      </xdr:grpSpPr>
      <xdr:grpSp>
        <xdr:nvGrpSpPr>
          <xdr:cNvPr id="66" name="Group 65">
            <a:extLst>
              <a:ext uri="{FF2B5EF4-FFF2-40B4-BE49-F238E27FC236}">
                <a16:creationId xmlns:a16="http://schemas.microsoft.com/office/drawing/2014/main" id="{4A10AD0D-D1C9-42F7-BA03-48524F8B5D0E}"/>
              </a:ext>
            </a:extLst>
          </xdr:cNvPr>
          <xdr:cNvGrpSpPr/>
        </xdr:nvGrpSpPr>
        <xdr:grpSpPr>
          <a:xfrm>
            <a:off x="0" y="0"/>
            <a:ext cx="13220700" cy="544050"/>
            <a:chOff x="0" y="0"/>
            <a:chExt cx="13220700" cy="544050"/>
          </a:xfrm>
        </xdr:grpSpPr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8CC9527-290D-46C0-A02D-56CF6FCAEB94}"/>
                </a:ext>
              </a:extLst>
            </xdr:cNvPr>
            <xdr:cNvSpPr/>
          </xdr:nvSpPr>
          <xdr:spPr>
            <a:xfrm>
              <a:off x="0" y="182880"/>
              <a:ext cx="13220700" cy="3600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sp macro="" textlink="">
          <xdr:nvSpPr>
            <xdr:cNvPr id="69" name="Rectangle 68">
              <a:extLst>
                <a:ext uri="{FF2B5EF4-FFF2-40B4-BE49-F238E27FC236}">
                  <a16:creationId xmlns:a16="http://schemas.microsoft.com/office/drawing/2014/main" id="{226C9521-F2E1-4CDC-A779-26E4BC814484}"/>
                </a:ext>
              </a:extLst>
            </xdr:cNvPr>
            <xdr:cNvSpPr/>
          </xdr:nvSpPr>
          <xdr:spPr>
            <a:xfrm>
              <a:off x="0" y="0"/>
              <a:ext cx="13220700" cy="360000"/>
            </a:xfrm>
            <a:prstGeom prst="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vi-VN" sz="1100"/>
            </a:p>
          </xdr:txBody>
        </xdr:sp>
        <xdr:pic>
          <xdr:nvPicPr>
            <xdr:cNvPr id="70" name="Picture 69">
              <a:extLst>
                <a:ext uri="{FF2B5EF4-FFF2-40B4-BE49-F238E27FC236}">
                  <a16:creationId xmlns:a16="http://schemas.microsoft.com/office/drawing/2014/main" id="{A0CBDE86-AAE5-4C26-8FF6-86416E61AB5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41021" y="18000"/>
              <a:ext cx="324000" cy="324000"/>
            </a:xfrm>
            <a:prstGeom prst="rect">
              <a:avLst/>
            </a:prstGeom>
          </xdr:spPr>
        </xdr:pic>
        <xdr:pic>
          <xdr:nvPicPr>
            <xdr:cNvPr id="71" name="Picture 70">
              <a:extLst>
                <a:ext uri="{FF2B5EF4-FFF2-40B4-BE49-F238E27FC236}">
                  <a16:creationId xmlns:a16="http://schemas.microsoft.com/office/drawing/2014/main" id="{6514A399-28EC-403A-BE6C-1BCD7B990F5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6780" y="18000"/>
              <a:ext cx="324000" cy="324000"/>
            </a:xfrm>
            <a:prstGeom prst="rect">
              <a:avLst/>
            </a:prstGeom>
          </xdr:spPr>
        </xdr:pic>
        <xdr:sp macro="" textlink="">
          <xdr:nvSpPr>
            <xdr:cNvPr id="72" name="Rectangle 7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1D096F2B-5B01-48C3-B8F2-8EED50375B2A}"/>
                </a:ext>
              </a:extLst>
            </xdr:cNvPr>
            <xdr:cNvSpPr/>
          </xdr:nvSpPr>
          <xdr:spPr>
            <a:xfrm>
              <a:off x="321564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HOME</a:t>
              </a:r>
            </a:p>
          </xdr:txBody>
        </xdr:sp>
        <xdr:sp macro="" textlink="">
          <xdr:nvSpPr>
            <xdr:cNvPr id="73" name="Rectangle 7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8C78B2DA-76C9-4222-A760-9BE97BE39900}"/>
                </a:ext>
              </a:extLst>
            </xdr:cNvPr>
            <xdr:cNvSpPr/>
          </xdr:nvSpPr>
          <xdr:spPr>
            <a:xfrm>
              <a:off x="4200144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CHẤM</a:t>
              </a:r>
              <a:r>
                <a:rPr lang="en-US" sz="1100" b="1" baseline="0"/>
                <a:t> CÔNG</a:t>
              </a:r>
            </a:p>
            <a:p>
              <a:pPr algn="ctr"/>
              <a:endParaRPr lang="en-US" sz="1100" b="1"/>
            </a:p>
          </xdr:txBody>
        </xdr:sp>
        <xdr:sp macro="" textlink="">
          <xdr:nvSpPr>
            <xdr:cNvPr id="74" name="Rectangle 7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4CCBD581-AED1-4C99-923B-8F93F49F71BB}"/>
                </a:ext>
              </a:extLst>
            </xdr:cNvPr>
            <xdr:cNvSpPr/>
          </xdr:nvSpPr>
          <xdr:spPr>
            <a:xfrm>
              <a:off x="5184648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BÁO</a:t>
              </a:r>
              <a:r>
                <a:rPr lang="en-US" sz="1100" b="1" baseline="0"/>
                <a:t> CÁO</a:t>
              </a:r>
              <a:endParaRPr lang="en-US" sz="1100" b="1"/>
            </a:p>
          </xdr:txBody>
        </xdr:sp>
        <xdr:sp macro="" textlink="">
          <xdr:nvSpPr>
            <xdr:cNvPr id="75" name="Rectangle 7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7AB51868-480B-4342-9AD5-3F40B063E101}"/>
                </a:ext>
              </a:extLst>
            </xdr:cNvPr>
            <xdr:cNvSpPr/>
          </xdr:nvSpPr>
          <xdr:spPr>
            <a:xfrm>
              <a:off x="6169152" y="156210"/>
              <a:ext cx="972000" cy="190500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>
                  <a:solidFill>
                    <a:srgbClr val="002060"/>
                  </a:solidFill>
                </a:rPr>
                <a:t>B.</a:t>
              </a:r>
              <a:r>
                <a:rPr lang="en-US" sz="1100" b="1" baseline="0">
                  <a:solidFill>
                    <a:srgbClr val="002060"/>
                  </a:solidFill>
                </a:rPr>
                <a:t> LƯƠNG</a:t>
              </a:r>
              <a:endParaRPr lang="en-US" sz="1100" b="1">
                <a:solidFill>
                  <a:srgbClr val="002060"/>
                </a:solidFill>
              </a:endParaRPr>
            </a:p>
          </xdr:txBody>
        </xdr:sp>
        <xdr:sp macro="" textlink="">
          <xdr:nvSpPr>
            <xdr:cNvPr id="76" name="Rectangle 7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DF8F1C84-2510-4839-81BD-E852F496C827}"/>
                </a:ext>
              </a:extLst>
            </xdr:cNvPr>
            <xdr:cNvSpPr/>
          </xdr:nvSpPr>
          <xdr:spPr>
            <a:xfrm>
              <a:off x="7153656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DS NV</a:t>
              </a:r>
            </a:p>
          </xdr:txBody>
        </xdr:sp>
        <xdr:sp macro="" textlink="">
          <xdr:nvSpPr>
            <xdr:cNvPr id="77" name="Rectangle 7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BEAAACEB-F477-4397-9E35-E4AD23C7DA13}"/>
                </a:ext>
              </a:extLst>
            </xdr:cNvPr>
            <xdr:cNvSpPr/>
          </xdr:nvSpPr>
          <xdr:spPr>
            <a:xfrm>
              <a:off x="8138160" y="156210"/>
              <a:ext cx="972000" cy="1905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CÀI</a:t>
              </a:r>
              <a:r>
                <a:rPr lang="en-US" sz="1100" b="1" baseline="0"/>
                <a:t> ĐẶT</a:t>
              </a:r>
              <a:endParaRPr lang="en-US" sz="1100" b="1"/>
            </a:p>
          </xdr:txBody>
        </xdr:sp>
        <xdr:sp macro="" textlink="">
          <xdr:nvSpPr>
            <xdr:cNvPr id="78" name="Rectangle 77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781EDE58-25CB-4D0F-954B-4039D19E6882}"/>
                </a:ext>
              </a:extLst>
            </xdr:cNvPr>
            <xdr:cNvSpPr/>
          </xdr:nvSpPr>
          <xdr:spPr>
            <a:xfrm>
              <a:off x="5450205" y="400050"/>
              <a:ext cx="720000" cy="14400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/>
                <a:t>B. LƯƠNG</a:t>
              </a:r>
            </a:p>
          </xdr:txBody>
        </xdr:sp>
        <xdr:sp macro="" textlink="">
          <xdr:nvSpPr>
            <xdr:cNvPr id="79" name="Rectangle 78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713D54DE-9DE0-419F-83A3-3C95DD68DC83}"/>
                </a:ext>
              </a:extLst>
            </xdr:cNvPr>
            <xdr:cNvSpPr/>
          </xdr:nvSpPr>
          <xdr:spPr>
            <a:xfrm>
              <a:off x="6176010" y="400050"/>
              <a:ext cx="720000" cy="144000"/>
            </a:xfrm>
            <a:prstGeom prst="rect">
              <a:avLst/>
            </a:prstGeom>
            <a:solidFill>
              <a:schemeClr val="bg1">
                <a:lumMod val="6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 b="1">
                  <a:solidFill>
                    <a:srgbClr val="FFFF00"/>
                  </a:solidFill>
                </a:rPr>
                <a:t>P.</a:t>
              </a:r>
              <a:r>
                <a:rPr lang="en-US" sz="900" b="1" baseline="0">
                  <a:solidFill>
                    <a:srgbClr val="FFFF00"/>
                  </a:solidFill>
                </a:rPr>
                <a:t> LƯƠNG</a:t>
              </a:r>
            </a:p>
          </xdr:txBody>
        </xdr:sp>
      </xdr:grp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DEFAEB11-B54E-43A1-8126-D969C571C879}"/>
              </a:ext>
            </a:extLst>
          </xdr:cNvPr>
          <xdr:cNvSpPr txBox="1"/>
        </xdr:nvSpPr>
        <xdr:spPr>
          <a:xfrm>
            <a:off x="1226820" y="121920"/>
            <a:ext cx="1463040" cy="2514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i="1">
                <a:solidFill>
                  <a:schemeClr val="bg1"/>
                </a:solidFill>
              </a:rPr>
              <a:t>@Copyright</a:t>
            </a:r>
            <a:r>
              <a:rPr lang="en-US" sz="1000" i="1" baseline="0">
                <a:solidFill>
                  <a:schemeClr val="bg1"/>
                </a:solidFill>
              </a:rPr>
              <a:t> by MJK</a:t>
            </a:r>
            <a:endParaRPr lang="vi-VN" sz="1000" i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327660</xdr:colOff>
      <xdr:row>4</xdr:row>
      <xdr:rowOff>152400</xdr:rowOff>
    </xdr:from>
    <xdr:to>
      <xdr:col>29</xdr:col>
      <xdr:colOff>60960</xdr:colOff>
      <xdr:row>5</xdr:row>
      <xdr:rowOff>289560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544A27-C3E6-47EA-AE50-B827A4241236}"/>
            </a:ext>
          </a:extLst>
        </xdr:cNvPr>
        <xdr:cNvSpPr/>
      </xdr:nvSpPr>
      <xdr:spPr>
        <a:xfrm>
          <a:off x="12336780" y="853440"/>
          <a:ext cx="1196340" cy="312420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HOME</a:t>
          </a:r>
          <a:endParaRPr lang="vi-VN" sz="12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h&#432;%20qu&#225;n%20UEL/WPRO-HRM-2021-CHAM-CONG-TINH-LUONG-FREE/WPRO%20HRM%202021%20-%20CHAM%20CONG%20&amp;%20TINH%20LUONG%20(FREE)/WPRO%20HRM%202021%20-%20PHAN%20MEM%20CHAM%20CONG%20TINH%20LUONG%2012%20THA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nh muc nhan vien"/>
      <sheetName val="T1"/>
      <sheetName val="T2"/>
      <sheetName val="T3"/>
      <sheetName val="T4"/>
      <sheetName val="T5"/>
      <sheetName val="T6"/>
      <sheetName val="T7"/>
      <sheetName val="T8"/>
      <sheetName val="T9"/>
      <sheetName val="T10"/>
      <sheetName val="T11"/>
      <sheetName val="T12"/>
      <sheetName val="About us"/>
      <sheetName val="Report"/>
      <sheetName val="Report-1"/>
      <sheetName val="Calendar"/>
      <sheetName val="Bang luong"/>
      <sheetName val="Phieu luong"/>
      <sheetName val="Setu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18">
          <cell r="H18" t="str">
            <v>T.Hai</v>
          </cell>
          <cell r="I18" t="b">
            <v>1</v>
          </cell>
        </row>
        <row r="19">
          <cell r="H19" t="str">
            <v>T.Ba</v>
          </cell>
          <cell r="I19" t="b">
            <v>1</v>
          </cell>
          <cell r="K19">
            <v>43475</v>
          </cell>
        </row>
        <row r="20">
          <cell r="H20" t="str">
            <v>T.Tư</v>
          </cell>
          <cell r="I20" t="b">
            <v>1</v>
          </cell>
          <cell r="K20">
            <v>43583</v>
          </cell>
        </row>
        <row r="21">
          <cell r="H21" t="str">
            <v>T.Năm</v>
          </cell>
          <cell r="I21" t="b">
            <v>1</v>
          </cell>
          <cell r="K21">
            <v>43585</v>
          </cell>
        </row>
        <row r="22">
          <cell r="H22" t="str">
            <v>T.Sáu</v>
          </cell>
          <cell r="I22" t="b">
            <v>1</v>
          </cell>
          <cell r="K22">
            <v>43586</v>
          </cell>
        </row>
        <row r="23">
          <cell r="H23" t="str">
            <v>T.Bảy</v>
          </cell>
          <cell r="I23" t="b">
            <v>0</v>
          </cell>
          <cell r="K23">
            <v>43710</v>
          </cell>
        </row>
        <row r="24">
          <cell r="H24" t="str">
            <v>C.Nhật</v>
          </cell>
          <cell r="I24" t="b">
            <v>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449.824833449071" createdVersion="7" refreshedVersion="7" minRefreshableVersion="3" recordCount="40" xr:uid="{059E87D8-1D25-4281-9501-E94E77DD4AE3}">
  <cacheSource type="worksheet">
    <worksheetSource ref="C8:S48" sheet="RP_All"/>
  </cacheSource>
  <cacheFields count="17">
    <cacheField name="STT" numFmtId="0">
      <sharedItems containsSemiMixedTypes="0" containsString="0" containsNumber="1" containsInteger="1" minValue="1" maxValue="40"/>
    </cacheField>
    <cacheField name="Họ và tên" numFmtId="0">
      <sharedItems count="21">
        <s v="Nguyễn Võ Như Bình"/>
        <s v="Võ Khánh Đoan"/>
        <s v="Nguyễn Thu Hà"/>
        <s v="Trương Thị Phú Hiệp"/>
        <s v="Nguyễn Thị Bích Hồng"/>
        <s v="Phạm Thị Ngọc Hồng"/>
        <s v="Phạm Thị Huệ"/>
        <s v="Nguyễn Thị Quỳnh Hương"/>
        <s v="Huỳnh Thanh Huyên"/>
        <s v="Lê Hữu Di Mi"/>
        <s v="Nguyễn Nhựt Minh"/>
        <s v="Lê Thảo Nguyên"/>
        <s v="Võ Thị Xuân Nữ"/>
        <s v="Đỗ Thị Lan Phương"/>
        <s v="Nguyễn Thị Nhã Quyên"/>
        <s v="Nguyễn Đức Vĩnh Thắng"/>
        <s v="Nguyễn Thành Tiến"/>
        <s v="Trần Thị Trúc"/>
        <s v="Bùi Hoàng Trung"/>
        <s v="Ngô Trúc Tường Vy"/>
        <s v=""/>
      </sharedItems>
    </cacheField>
    <cacheField name="Chức vụ" numFmtId="0">
      <sharedItems/>
    </cacheField>
    <cacheField name="T1" numFmtId="167">
      <sharedItems containsSemiMixedTypes="0" containsString="0" containsNumber="1" minValue="0" maxValue="28"/>
    </cacheField>
    <cacheField name="T2" numFmtId="167">
      <sharedItems containsSemiMixedTypes="0" containsString="0" containsNumber="1" containsInteger="1" minValue="0" maxValue="0"/>
    </cacheField>
    <cacheField name="T3" numFmtId="167">
      <sharedItems containsSemiMixedTypes="0" containsString="0" containsNumber="1" minValue="0" maxValue="30"/>
    </cacheField>
    <cacheField name="T4" numFmtId="167">
      <sharedItems containsSemiMixedTypes="0" containsString="0" containsNumber="1" minValue="0" maxValue="22.5"/>
    </cacheField>
    <cacheField name="T5" numFmtId="167">
      <sharedItems containsSemiMixedTypes="0" containsString="0" containsNumber="1" containsInteger="1" minValue="0" maxValue="0"/>
    </cacheField>
    <cacheField name="T6" numFmtId="167">
      <sharedItems containsSemiMixedTypes="0" containsString="0" containsNumber="1" containsInteger="1" minValue="0" maxValue="0"/>
    </cacheField>
    <cacheField name="T7" numFmtId="167">
      <sharedItems containsSemiMixedTypes="0" containsString="0" containsNumber="1" containsInteger="1" minValue="0" maxValue="0"/>
    </cacheField>
    <cacheField name="T8" numFmtId="167">
      <sharedItems containsSemiMixedTypes="0" containsString="0" containsNumber="1" containsInteger="1" minValue="0" maxValue="0"/>
    </cacheField>
    <cacheField name="T9" numFmtId="167">
      <sharedItems containsSemiMixedTypes="0" containsString="0" containsNumber="1" containsInteger="1" minValue="0" maxValue="0"/>
    </cacheField>
    <cacheField name="T10" numFmtId="167">
      <sharedItems containsSemiMixedTypes="0" containsString="0" containsNumber="1" containsInteger="1" minValue="0" maxValue="0"/>
    </cacheField>
    <cacheField name="T11" numFmtId="167">
      <sharedItems containsSemiMixedTypes="0" containsString="0" containsNumber="1" containsInteger="1" minValue="0" maxValue="0"/>
    </cacheField>
    <cacheField name="T12" numFmtId="167">
      <sharedItems containsSemiMixedTypes="0" containsString="0" containsNumber="1" containsInteger="1" minValue="0" maxValue="0"/>
    </cacheField>
    <cacheField name="Tổng" numFmtId="167">
      <sharedItems containsSemiMixedTypes="0" containsString="0" containsNumber="1" minValue="0" maxValue="73.5"/>
    </cacheField>
    <cacheField name="Ghi chú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n v="1"/>
    <x v="0"/>
    <s v="Thành viên"/>
    <n v="19"/>
    <n v="0"/>
    <n v="14"/>
    <n v="14"/>
    <n v="0"/>
    <n v="0"/>
    <n v="0"/>
    <n v="0"/>
    <n v="0"/>
    <n v="0"/>
    <n v="0"/>
    <n v="0"/>
    <n v="47"/>
    <m/>
  </r>
  <r>
    <n v="2"/>
    <x v="1"/>
    <s v="Thành viên"/>
    <n v="16"/>
    <n v="0"/>
    <n v="11"/>
    <n v="17"/>
    <n v="0"/>
    <n v="0"/>
    <n v="0"/>
    <n v="0"/>
    <n v="0"/>
    <n v="0"/>
    <n v="0"/>
    <n v="0"/>
    <n v="44"/>
    <m/>
  </r>
  <r>
    <n v="3"/>
    <x v="2"/>
    <s v="Thành viên"/>
    <n v="16"/>
    <n v="0"/>
    <n v="16"/>
    <n v="20"/>
    <n v="0"/>
    <n v="0"/>
    <n v="0"/>
    <n v="0"/>
    <n v="0"/>
    <n v="0"/>
    <n v="0"/>
    <n v="0"/>
    <n v="52"/>
    <m/>
  </r>
  <r>
    <n v="4"/>
    <x v="3"/>
    <s v="Thành viên"/>
    <n v="15"/>
    <n v="0"/>
    <n v="11"/>
    <n v="14"/>
    <n v="0"/>
    <n v="0"/>
    <n v="0"/>
    <n v="0"/>
    <n v="0"/>
    <n v="0"/>
    <n v="0"/>
    <n v="0"/>
    <n v="40"/>
    <m/>
  </r>
  <r>
    <n v="5"/>
    <x v="4"/>
    <s v="Thành viên"/>
    <n v="10"/>
    <n v="0"/>
    <n v="11"/>
    <n v="16"/>
    <n v="0"/>
    <n v="0"/>
    <n v="0"/>
    <n v="0"/>
    <n v="0"/>
    <n v="0"/>
    <n v="0"/>
    <n v="0"/>
    <n v="37"/>
    <m/>
  </r>
  <r>
    <n v="6"/>
    <x v="5"/>
    <s v="Thành viên"/>
    <n v="14"/>
    <n v="0"/>
    <n v="14"/>
    <n v="15.5"/>
    <n v="0"/>
    <n v="0"/>
    <n v="0"/>
    <n v="0"/>
    <n v="0"/>
    <n v="0"/>
    <n v="0"/>
    <n v="0"/>
    <n v="43.5"/>
    <m/>
  </r>
  <r>
    <n v="7"/>
    <x v="6"/>
    <s v="Trưởng ban"/>
    <n v="23"/>
    <n v="0"/>
    <n v="30"/>
    <n v="20.5"/>
    <n v="0"/>
    <n v="0"/>
    <n v="0"/>
    <n v="0"/>
    <n v="0"/>
    <n v="0"/>
    <n v="0"/>
    <n v="0"/>
    <n v="73.5"/>
    <m/>
  </r>
  <r>
    <n v="8"/>
    <x v="7"/>
    <s v="Trưởng ban"/>
    <n v="10.5"/>
    <n v="0"/>
    <n v="20"/>
    <n v="11"/>
    <n v="0"/>
    <n v="0"/>
    <n v="0"/>
    <n v="0"/>
    <n v="0"/>
    <n v="0"/>
    <n v="0"/>
    <n v="0"/>
    <n v="41.5"/>
    <m/>
  </r>
  <r>
    <n v="9"/>
    <x v="8"/>
    <s v="Thành viên"/>
    <n v="10"/>
    <n v="0"/>
    <n v="13"/>
    <n v="8"/>
    <n v="0"/>
    <n v="0"/>
    <n v="0"/>
    <n v="0"/>
    <n v="0"/>
    <n v="0"/>
    <n v="0"/>
    <n v="0"/>
    <n v="31"/>
    <m/>
  </r>
  <r>
    <n v="10"/>
    <x v="9"/>
    <s v="Thành viên"/>
    <n v="17"/>
    <n v="0"/>
    <n v="20"/>
    <n v="21"/>
    <n v="0"/>
    <n v="0"/>
    <n v="0"/>
    <n v="0"/>
    <n v="0"/>
    <n v="0"/>
    <n v="0"/>
    <n v="0"/>
    <n v="58"/>
    <m/>
  </r>
  <r>
    <n v="11"/>
    <x v="10"/>
    <s v="Trưởng ban"/>
    <n v="28"/>
    <n v="0"/>
    <n v="18.5"/>
    <n v="22.5"/>
    <n v="0"/>
    <n v="0"/>
    <n v="0"/>
    <n v="0"/>
    <n v="0"/>
    <n v="0"/>
    <n v="0"/>
    <n v="0"/>
    <n v="69"/>
    <m/>
  </r>
  <r>
    <n v="12"/>
    <x v="11"/>
    <s v="Thành viên"/>
    <n v="19"/>
    <n v="0"/>
    <n v="17"/>
    <n v="16"/>
    <n v="0"/>
    <n v="0"/>
    <n v="0"/>
    <n v="0"/>
    <n v="0"/>
    <n v="0"/>
    <n v="0"/>
    <n v="0"/>
    <n v="52"/>
    <m/>
  </r>
  <r>
    <n v="13"/>
    <x v="12"/>
    <s v="Thành viên"/>
    <n v="10"/>
    <n v="0"/>
    <n v="12"/>
    <n v="15"/>
    <n v="0"/>
    <n v="0"/>
    <n v="0"/>
    <n v="0"/>
    <n v="0"/>
    <n v="0"/>
    <n v="0"/>
    <n v="0"/>
    <n v="37"/>
    <m/>
  </r>
  <r>
    <n v="14"/>
    <x v="13"/>
    <s v="Thành viên"/>
    <n v="15"/>
    <n v="0"/>
    <n v="8"/>
    <n v="16"/>
    <n v="0"/>
    <n v="0"/>
    <n v="0"/>
    <n v="0"/>
    <n v="0"/>
    <n v="0"/>
    <n v="0"/>
    <n v="0"/>
    <n v="39"/>
    <m/>
  </r>
  <r>
    <n v="15"/>
    <x v="14"/>
    <s v="Thành viên"/>
    <n v="17"/>
    <n v="0"/>
    <n v="0"/>
    <n v="0"/>
    <n v="0"/>
    <n v="0"/>
    <n v="0"/>
    <n v="0"/>
    <n v="0"/>
    <n v="0"/>
    <n v="0"/>
    <n v="0"/>
    <n v="17"/>
    <m/>
  </r>
  <r>
    <n v="16"/>
    <x v="15"/>
    <s v="Trưởng ban"/>
    <n v="14.5"/>
    <n v="0"/>
    <n v="17"/>
    <n v="14"/>
    <n v="0"/>
    <n v="0"/>
    <n v="0"/>
    <n v="0"/>
    <n v="0"/>
    <n v="0"/>
    <n v="0"/>
    <n v="0"/>
    <n v="45.5"/>
    <m/>
  </r>
  <r>
    <n v="17"/>
    <x v="16"/>
    <s v="Thành viên"/>
    <n v="17"/>
    <n v="0"/>
    <n v="11"/>
    <n v="11"/>
    <n v="0"/>
    <n v="0"/>
    <n v="0"/>
    <n v="0"/>
    <n v="0"/>
    <n v="0"/>
    <n v="0"/>
    <n v="0"/>
    <n v="39"/>
    <m/>
  </r>
  <r>
    <n v="18"/>
    <x v="17"/>
    <s v="Thành viên"/>
    <n v="10"/>
    <n v="0"/>
    <n v="11.5"/>
    <n v="16.5"/>
    <n v="0"/>
    <n v="0"/>
    <n v="0"/>
    <n v="0"/>
    <n v="0"/>
    <n v="0"/>
    <n v="0"/>
    <n v="0"/>
    <n v="38"/>
    <m/>
  </r>
  <r>
    <n v="19"/>
    <x v="18"/>
    <s v="Thành viên"/>
    <n v="8"/>
    <n v="0"/>
    <n v="0"/>
    <n v="0"/>
    <n v="0"/>
    <n v="0"/>
    <n v="0"/>
    <n v="0"/>
    <n v="0"/>
    <n v="0"/>
    <n v="0"/>
    <n v="0"/>
    <n v="8"/>
    <m/>
  </r>
  <r>
    <n v="20"/>
    <x v="19"/>
    <s v="Trưởng ban"/>
    <n v="8"/>
    <n v="0"/>
    <n v="13"/>
    <n v="9"/>
    <n v="0"/>
    <n v="0"/>
    <n v="0"/>
    <n v="0"/>
    <n v="0"/>
    <n v="0"/>
    <n v="0"/>
    <n v="0"/>
    <n v="30"/>
    <m/>
  </r>
  <r>
    <n v="21"/>
    <x v="20"/>
    <s v=""/>
    <n v="0"/>
    <n v="0"/>
    <n v="0"/>
    <n v="0"/>
    <n v="0"/>
    <n v="0"/>
    <n v="0"/>
    <n v="0"/>
    <n v="0"/>
    <n v="0"/>
    <n v="0"/>
    <n v="0"/>
    <n v="0"/>
    <m/>
  </r>
  <r>
    <n v="22"/>
    <x v="20"/>
    <s v=""/>
    <n v="0"/>
    <n v="0"/>
    <n v="0"/>
    <n v="0"/>
    <n v="0"/>
    <n v="0"/>
    <n v="0"/>
    <n v="0"/>
    <n v="0"/>
    <n v="0"/>
    <n v="0"/>
    <n v="0"/>
    <n v="0"/>
    <m/>
  </r>
  <r>
    <n v="23"/>
    <x v="20"/>
    <s v=""/>
    <n v="0"/>
    <n v="0"/>
    <n v="0"/>
    <n v="0"/>
    <n v="0"/>
    <n v="0"/>
    <n v="0"/>
    <n v="0"/>
    <n v="0"/>
    <n v="0"/>
    <n v="0"/>
    <n v="0"/>
    <n v="0"/>
    <m/>
  </r>
  <r>
    <n v="24"/>
    <x v="20"/>
    <s v=""/>
    <n v="0"/>
    <n v="0"/>
    <n v="0"/>
    <n v="0"/>
    <n v="0"/>
    <n v="0"/>
    <n v="0"/>
    <n v="0"/>
    <n v="0"/>
    <n v="0"/>
    <n v="0"/>
    <n v="0"/>
    <n v="0"/>
    <m/>
  </r>
  <r>
    <n v="25"/>
    <x v="20"/>
    <s v=""/>
    <n v="0"/>
    <n v="0"/>
    <n v="0"/>
    <n v="0"/>
    <n v="0"/>
    <n v="0"/>
    <n v="0"/>
    <n v="0"/>
    <n v="0"/>
    <n v="0"/>
    <n v="0"/>
    <n v="0"/>
    <n v="0"/>
    <m/>
  </r>
  <r>
    <n v="26"/>
    <x v="20"/>
    <s v=""/>
    <n v="0"/>
    <n v="0"/>
    <n v="0"/>
    <n v="0"/>
    <n v="0"/>
    <n v="0"/>
    <n v="0"/>
    <n v="0"/>
    <n v="0"/>
    <n v="0"/>
    <n v="0"/>
    <n v="0"/>
    <n v="0"/>
    <m/>
  </r>
  <r>
    <n v="27"/>
    <x v="20"/>
    <s v=""/>
    <n v="0"/>
    <n v="0"/>
    <n v="0"/>
    <n v="0"/>
    <n v="0"/>
    <n v="0"/>
    <n v="0"/>
    <n v="0"/>
    <n v="0"/>
    <n v="0"/>
    <n v="0"/>
    <n v="0"/>
    <n v="0"/>
    <m/>
  </r>
  <r>
    <n v="28"/>
    <x v="20"/>
    <s v=""/>
    <n v="0"/>
    <n v="0"/>
    <n v="0"/>
    <n v="0"/>
    <n v="0"/>
    <n v="0"/>
    <n v="0"/>
    <n v="0"/>
    <n v="0"/>
    <n v="0"/>
    <n v="0"/>
    <n v="0"/>
    <n v="0"/>
    <m/>
  </r>
  <r>
    <n v="29"/>
    <x v="20"/>
    <s v=""/>
    <n v="0"/>
    <n v="0"/>
    <n v="0"/>
    <n v="0"/>
    <n v="0"/>
    <n v="0"/>
    <n v="0"/>
    <n v="0"/>
    <n v="0"/>
    <n v="0"/>
    <n v="0"/>
    <n v="0"/>
    <n v="0"/>
    <m/>
  </r>
  <r>
    <n v="30"/>
    <x v="20"/>
    <s v=""/>
    <n v="0"/>
    <n v="0"/>
    <n v="0"/>
    <n v="0"/>
    <n v="0"/>
    <n v="0"/>
    <n v="0"/>
    <n v="0"/>
    <n v="0"/>
    <n v="0"/>
    <n v="0"/>
    <n v="0"/>
    <n v="0"/>
    <m/>
  </r>
  <r>
    <n v="31"/>
    <x v="20"/>
    <s v=""/>
    <n v="0"/>
    <n v="0"/>
    <n v="0"/>
    <n v="0"/>
    <n v="0"/>
    <n v="0"/>
    <n v="0"/>
    <n v="0"/>
    <n v="0"/>
    <n v="0"/>
    <n v="0"/>
    <n v="0"/>
    <n v="0"/>
    <m/>
  </r>
  <r>
    <n v="32"/>
    <x v="20"/>
    <s v=""/>
    <n v="0"/>
    <n v="0"/>
    <n v="0"/>
    <n v="0"/>
    <n v="0"/>
    <n v="0"/>
    <n v="0"/>
    <n v="0"/>
    <n v="0"/>
    <n v="0"/>
    <n v="0"/>
    <n v="0"/>
    <n v="0"/>
    <m/>
  </r>
  <r>
    <n v="33"/>
    <x v="20"/>
    <s v=""/>
    <n v="0"/>
    <n v="0"/>
    <n v="0"/>
    <n v="0"/>
    <n v="0"/>
    <n v="0"/>
    <n v="0"/>
    <n v="0"/>
    <n v="0"/>
    <n v="0"/>
    <n v="0"/>
    <n v="0"/>
    <n v="0"/>
    <m/>
  </r>
  <r>
    <n v="34"/>
    <x v="20"/>
    <s v=""/>
    <n v="0"/>
    <n v="0"/>
    <n v="0"/>
    <n v="0"/>
    <n v="0"/>
    <n v="0"/>
    <n v="0"/>
    <n v="0"/>
    <n v="0"/>
    <n v="0"/>
    <n v="0"/>
    <n v="0"/>
    <n v="0"/>
    <m/>
  </r>
  <r>
    <n v="35"/>
    <x v="20"/>
    <s v=""/>
    <n v="0"/>
    <n v="0"/>
    <n v="0"/>
    <n v="0"/>
    <n v="0"/>
    <n v="0"/>
    <n v="0"/>
    <n v="0"/>
    <n v="0"/>
    <n v="0"/>
    <n v="0"/>
    <n v="0"/>
    <n v="0"/>
    <m/>
  </r>
  <r>
    <n v="36"/>
    <x v="20"/>
    <s v=""/>
    <n v="0"/>
    <n v="0"/>
    <n v="0"/>
    <n v="0"/>
    <n v="0"/>
    <n v="0"/>
    <n v="0"/>
    <n v="0"/>
    <n v="0"/>
    <n v="0"/>
    <n v="0"/>
    <n v="0"/>
    <n v="0"/>
    <m/>
  </r>
  <r>
    <n v="37"/>
    <x v="20"/>
    <s v=""/>
    <n v="0"/>
    <n v="0"/>
    <n v="0"/>
    <n v="0"/>
    <n v="0"/>
    <n v="0"/>
    <n v="0"/>
    <n v="0"/>
    <n v="0"/>
    <n v="0"/>
    <n v="0"/>
    <n v="0"/>
    <n v="0"/>
    <m/>
  </r>
  <r>
    <n v="38"/>
    <x v="20"/>
    <s v=""/>
    <n v="0"/>
    <n v="0"/>
    <n v="0"/>
    <n v="0"/>
    <n v="0"/>
    <n v="0"/>
    <n v="0"/>
    <n v="0"/>
    <n v="0"/>
    <n v="0"/>
    <n v="0"/>
    <n v="0"/>
    <n v="0"/>
    <m/>
  </r>
  <r>
    <n v="39"/>
    <x v="20"/>
    <s v=""/>
    <n v="0"/>
    <n v="0"/>
    <n v="0"/>
    <n v="0"/>
    <n v="0"/>
    <n v="0"/>
    <n v="0"/>
    <n v="0"/>
    <n v="0"/>
    <n v="0"/>
    <n v="0"/>
    <n v="0"/>
    <n v="0"/>
    <m/>
  </r>
  <r>
    <n v="40"/>
    <x v="20"/>
    <s v=""/>
    <n v="0"/>
    <n v="0"/>
    <n v="0"/>
    <n v="0"/>
    <n v="0"/>
    <n v="0"/>
    <n v="0"/>
    <n v="0"/>
    <n v="0"/>
    <n v="0"/>
    <n v="0"/>
    <n v="0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31500A-12C5-4FCE-9661-93AE36EFD719}" name="Tongquan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3:B24" firstHeaderRow="1" firstDataRow="1" firstDataCol="1"/>
  <pivotFields count="17">
    <pivotField showAll="0"/>
    <pivotField axis="axisRow" showAll="0" sortType="ascending">
      <items count="22">
        <item h="1" x="20"/>
        <item x="18"/>
        <item x="13"/>
        <item x="8"/>
        <item x="9"/>
        <item x="11"/>
        <item x="19"/>
        <item x="15"/>
        <item x="10"/>
        <item x="16"/>
        <item x="4"/>
        <item x="14"/>
        <item x="7"/>
        <item x="2"/>
        <item x="0"/>
        <item x="6"/>
        <item x="5"/>
        <item x="17"/>
        <item x="3"/>
        <item x="1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showAll="0"/>
  </pivotFields>
  <rowFields count="1">
    <field x="1"/>
  </rowFields>
  <rowItems count="21">
    <i>
      <x v="1"/>
    </i>
    <i>
      <x v="11"/>
    </i>
    <i>
      <x v="6"/>
    </i>
    <i>
      <x v="3"/>
    </i>
    <i>
      <x v="10"/>
    </i>
    <i>
      <x v="20"/>
    </i>
    <i>
      <x v="17"/>
    </i>
    <i>
      <x v="2"/>
    </i>
    <i>
      <x v="9"/>
    </i>
    <i>
      <x v="18"/>
    </i>
    <i>
      <x v="12"/>
    </i>
    <i>
      <x v="16"/>
    </i>
    <i>
      <x v="19"/>
    </i>
    <i>
      <x v="7"/>
    </i>
    <i>
      <x v="14"/>
    </i>
    <i>
      <x v="13"/>
    </i>
    <i>
      <x v="5"/>
    </i>
    <i>
      <x v="4"/>
    </i>
    <i>
      <x v="8"/>
    </i>
    <i>
      <x v="15"/>
    </i>
    <i t="grand">
      <x/>
    </i>
  </rowItems>
  <colItems count="1">
    <i/>
  </colItems>
  <dataFields count="1">
    <dataField name="Sum of Tổng" fld="15" baseField="1" baseItem="1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35002E-4B1D-4E8D-BF32-766221623ECA}" name="Ban" displayName="Ban" ref="B7:B11" totalsRowShown="0" headerRowDxfId="36" dataDxfId="34" headerRowBorderDxfId="35" tableBorderDxfId="33" totalsRowBorderDxfId="32">
  <autoFilter ref="B7:B11" xr:uid="{AE35002E-4B1D-4E8D-BF32-766221623ECA}"/>
  <tableColumns count="1">
    <tableColumn id="1" xr3:uid="{DC78B5D0-C928-4FF0-AD3F-A22384A591FA}" name="Ban" dataDxfId="3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A12F40C-27CA-4BA0-8F82-E4DCC7702E2E}" name="Gen" displayName="Gen" ref="B13:B23" totalsRowShown="0" headerRowDxfId="30" dataDxfId="28" headerRowBorderDxfId="29" tableBorderDxfId="27" totalsRowBorderDxfId="26">
  <autoFilter ref="B13:B23" xr:uid="{2A12F40C-27CA-4BA0-8F82-E4DCC7702E2E}"/>
  <sortState xmlns:xlrd2="http://schemas.microsoft.com/office/spreadsheetml/2017/richdata2" ref="B14:B23">
    <sortCondition descending="1" ref="B14:B23"/>
  </sortState>
  <tableColumns count="1">
    <tableColumn id="1" xr3:uid="{67C0FDE0-AE5A-49FA-B621-C6B14F584B0D}" name="Thế hệ" dataDxfId="25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4E181-EE2B-42D9-A760-75B223F82E04}">
  <sheetPr codeName="Sheet1"/>
  <dimension ref="F2:V29"/>
  <sheetViews>
    <sheetView showGridLines="0" showRowColHeaders="0" tabSelected="1" workbookViewId="0"/>
  </sheetViews>
  <sheetFormatPr defaultRowHeight="14.4" x14ac:dyDescent="0.3"/>
  <cols>
    <col min="1" max="16384" width="8.88671875" style="2"/>
  </cols>
  <sheetData>
    <row r="2" spans="6:22" ht="15" thickBot="1" x14ac:dyDescent="0.35">
      <c r="F2" s="46" t="s">
        <v>184</v>
      </c>
    </row>
    <row r="3" spans="6:22" x14ac:dyDescent="0.3">
      <c r="F3" s="64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6"/>
    </row>
    <row r="4" spans="6:22" x14ac:dyDescent="0.3">
      <c r="F4" s="67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71"/>
    </row>
    <row r="5" spans="6:22" x14ac:dyDescent="0.3">
      <c r="F5" s="67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71"/>
    </row>
    <row r="6" spans="6:22" x14ac:dyDescent="0.3">
      <c r="F6" s="67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69"/>
      <c r="S6" s="69"/>
      <c r="T6" s="69"/>
      <c r="U6" s="69"/>
      <c r="V6" s="71"/>
    </row>
    <row r="7" spans="6:22" x14ac:dyDescent="0.3">
      <c r="F7" s="67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  <c r="S7" s="69"/>
      <c r="T7" s="69"/>
      <c r="U7" s="69"/>
      <c r="V7" s="71"/>
    </row>
    <row r="8" spans="6:22" x14ac:dyDescent="0.3">
      <c r="F8" s="67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71"/>
    </row>
    <row r="9" spans="6:22" x14ac:dyDescent="0.3">
      <c r="F9" s="67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  <c r="S9" s="69"/>
      <c r="T9" s="69"/>
      <c r="U9" s="69"/>
      <c r="V9" s="71"/>
    </row>
    <row r="10" spans="6:22" x14ac:dyDescent="0.3">
      <c r="F10" s="67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71"/>
    </row>
    <row r="11" spans="6:22" x14ac:dyDescent="0.3">
      <c r="F11" s="67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71"/>
    </row>
    <row r="12" spans="6:22" x14ac:dyDescent="0.3">
      <c r="F12" s="67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V12" s="71"/>
    </row>
    <row r="13" spans="6:22" x14ac:dyDescent="0.3">
      <c r="F13" s="67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71"/>
    </row>
    <row r="14" spans="6:22" x14ac:dyDescent="0.3">
      <c r="F14" s="67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69"/>
      <c r="U14" s="69"/>
      <c r="V14" s="71"/>
    </row>
    <row r="15" spans="6:22" x14ac:dyDescent="0.3">
      <c r="F15" s="67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71"/>
    </row>
    <row r="16" spans="6:22" x14ac:dyDescent="0.3">
      <c r="F16" s="67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71"/>
    </row>
    <row r="17" spans="6:22" x14ac:dyDescent="0.3">
      <c r="F17" s="67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71"/>
    </row>
    <row r="18" spans="6:22" x14ac:dyDescent="0.3">
      <c r="F18" s="67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71"/>
    </row>
    <row r="19" spans="6:22" x14ac:dyDescent="0.3">
      <c r="F19" s="67"/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71"/>
    </row>
    <row r="20" spans="6:22" x14ac:dyDescent="0.3">
      <c r="F20" s="67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71"/>
    </row>
    <row r="21" spans="6:22" x14ac:dyDescent="0.3">
      <c r="F21" s="67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71"/>
    </row>
    <row r="22" spans="6:22" x14ac:dyDescent="0.3">
      <c r="F22" s="67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71"/>
    </row>
    <row r="23" spans="6:22" x14ac:dyDescent="0.3">
      <c r="F23" s="67"/>
      <c r="G23" s="69"/>
      <c r="H23" s="69"/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71"/>
    </row>
    <row r="24" spans="6:22" x14ac:dyDescent="0.3">
      <c r="F24" s="67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71"/>
    </row>
    <row r="25" spans="6:22" x14ac:dyDescent="0.3">
      <c r="F25" s="67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71"/>
    </row>
    <row r="26" spans="6:22" x14ac:dyDescent="0.3">
      <c r="F26" s="67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71"/>
    </row>
    <row r="27" spans="6:22" x14ac:dyDescent="0.3">
      <c r="F27" s="67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71"/>
    </row>
    <row r="28" spans="6:22" x14ac:dyDescent="0.3">
      <c r="F28" s="67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71"/>
    </row>
    <row r="29" spans="6:22" ht="15" thickBot="1" x14ac:dyDescent="0.35">
      <c r="F29" s="74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75"/>
      <c r="T29" s="75"/>
      <c r="U29" s="75"/>
      <c r="V29" s="7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4C7B1-5DC5-4F8A-AA1E-45EE1C3D135A}">
  <sheetPr codeName="Sheet2"/>
  <dimension ref="B5:E23"/>
  <sheetViews>
    <sheetView showRowColHeaders="0" workbookViewId="0">
      <pane ySplit="5" topLeftCell="A6" activePane="bottomLeft" state="frozen"/>
      <selection pane="bottomLeft"/>
    </sheetView>
  </sheetViews>
  <sheetFormatPr defaultRowHeight="14.4" x14ac:dyDescent="0.3"/>
  <cols>
    <col min="1" max="1" width="8.88671875" style="2"/>
    <col min="2" max="2" width="11.6640625" style="2" bestFit="1" customWidth="1"/>
    <col min="3" max="3" width="8.88671875" style="2"/>
    <col min="4" max="4" width="19.21875" style="2" bestFit="1" customWidth="1"/>
    <col min="5" max="5" width="16.6640625" style="2" bestFit="1" customWidth="1"/>
    <col min="6" max="16384" width="8.88671875" style="2"/>
  </cols>
  <sheetData>
    <row r="5" spans="2:5" ht="25.8" x14ac:dyDescent="0.5">
      <c r="B5" s="39" t="s">
        <v>183</v>
      </c>
    </row>
    <row r="7" spans="2:5" x14ac:dyDescent="0.3">
      <c r="B7" s="11" t="s">
        <v>7</v>
      </c>
      <c r="D7" s="57" t="s">
        <v>172</v>
      </c>
      <c r="E7" s="43" t="s">
        <v>168</v>
      </c>
    </row>
    <row r="8" spans="2:5" x14ac:dyDescent="0.3">
      <c r="B8" s="12" t="s">
        <v>33</v>
      </c>
      <c r="D8" s="57" t="s">
        <v>171</v>
      </c>
      <c r="E8" s="43" t="s">
        <v>123</v>
      </c>
    </row>
    <row r="9" spans="2:5" x14ac:dyDescent="0.3">
      <c r="B9" s="12" t="s">
        <v>37</v>
      </c>
    </row>
    <row r="10" spans="2:5" x14ac:dyDescent="0.3">
      <c r="B10" s="12" t="s">
        <v>34</v>
      </c>
    </row>
    <row r="11" spans="2:5" x14ac:dyDescent="0.3">
      <c r="B11" s="13" t="s">
        <v>36</v>
      </c>
    </row>
    <row r="13" spans="2:5" x14ac:dyDescent="0.3">
      <c r="B13" s="11" t="s">
        <v>13</v>
      </c>
    </row>
    <row r="14" spans="2:5" x14ac:dyDescent="0.3">
      <c r="B14" s="12" t="s">
        <v>47</v>
      </c>
    </row>
    <row r="15" spans="2:5" x14ac:dyDescent="0.3">
      <c r="B15" s="12" t="s">
        <v>46</v>
      </c>
    </row>
    <row r="16" spans="2:5" x14ac:dyDescent="0.3">
      <c r="B16" s="12" t="s">
        <v>45</v>
      </c>
    </row>
    <row r="17" spans="2:2" x14ac:dyDescent="0.3">
      <c r="B17" s="12" t="s">
        <v>44</v>
      </c>
    </row>
    <row r="18" spans="2:2" x14ac:dyDescent="0.3">
      <c r="B18" s="12" t="s">
        <v>43</v>
      </c>
    </row>
    <row r="19" spans="2:2" x14ac:dyDescent="0.3">
      <c r="B19" s="12" t="s">
        <v>42</v>
      </c>
    </row>
    <row r="20" spans="2:2" x14ac:dyDescent="0.3">
      <c r="B20" s="12" t="s">
        <v>41</v>
      </c>
    </row>
    <row r="21" spans="2:2" x14ac:dyDescent="0.3">
      <c r="B21" s="12" t="s">
        <v>40</v>
      </c>
    </row>
    <row r="22" spans="2:2" x14ac:dyDescent="0.3">
      <c r="B22" s="12" t="s">
        <v>39</v>
      </c>
    </row>
    <row r="23" spans="2:2" x14ac:dyDescent="0.3">
      <c r="B23" s="13" t="s">
        <v>38</v>
      </c>
    </row>
  </sheetData>
  <sheetProtection algorithmName="SHA-512" hashValue="qngnHTBSsfH64ktWiUD0dTh/mugopHwMmEqVau5qpgtMbJ6ydzXv00XN8pwnviiMD+nE1GS+h6OmvBzGTDoL0Q==" saltValue="fCqvaOwJuR20i1z5sxum9g==" spinCount="100000" sheet="1" objects="1" scenarios="1"/>
  <sortState xmlns:xlrd2="http://schemas.microsoft.com/office/spreadsheetml/2017/richdata2" ref="B8:B11">
    <sortCondition ref="B8:B11"/>
  </sortState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7D251-40D5-49A9-A580-C6D4F1532D17}">
  <sheetPr codeName="Sheet3"/>
  <dimension ref="A1:P53"/>
  <sheetViews>
    <sheetView showGridLines="0" showRowColHeaders="0" workbookViewId="0">
      <pane ySplit="8" topLeftCell="A9" activePane="bottomLeft" state="frozen"/>
      <selection pane="bottomLeft" activeCell="H25" sqref="H25"/>
    </sheetView>
  </sheetViews>
  <sheetFormatPr defaultColWidth="0" defaultRowHeight="14.4" zeroHeight="1" x14ac:dyDescent="0.3"/>
  <cols>
    <col min="1" max="1" width="8.88671875" style="2" customWidth="1"/>
    <col min="2" max="2" width="3.33203125" style="2" customWidth="1"/>
    <col min="3" max="3" width="4.44140625" style="3" customWidth="1"/>
    <col min="4" max="4" width="7.33203125" style="3" customWidth="1"/>
    <col min="5" max="5" width="25.5546875" style="2" customWidth="1"/>
    <col min="6" max="6" width="11.77734375" style="2" customWidth="1"/>
    <col min="7" max="7" width="12.6640625" style="3" customWidth="1"/>
    <col min="8" max="8" width="13.44140625" style="2" customWidth="1"/>
    <col min="9" max="9" width="15" style="2" customWidth="1"/>
    <col min="10" max="10" width="12.88671875" style="3" customWidth="1"/>
    <col min="11" max="11" width="14.77734375" style="3" customWidth="1"/>
    <col min="12" max="13" width="12.33203125" style="2" customWidth="1"/>
    <col min="14" max="14" width="12.5546875" style="2" customWidth="1"/>
    <col min="15" max="15" width="3.33203125" style="2" customWidth="1"/>
    <col min="16" max="16" width="8.88671875" style="2" customWidth="1"/>
    <col min="17" max="16384" width="8.88671875" style="2" hidden="1"/>
  </cols>
  <sheetData>
    <row r="1" spans="1:16" s="104" customFormat="1" x14ac:dyDescent="0.3">
      <c r="C1" s="105"/>
      <c r="D1" s="105"/>
      <c r="G1" s="105"/>
      <c r="J1" s="105"/>
      <c r="K1" s="105"/>
    </row>
    <row r="2" spans="1:16" s="104" customFormat="1" x14ac:dyDescent="0.3">
      <c r="C2" s="105"/>
      <c r="D2" s="105"/>
      <c r="G2" s="105"/>
      <c r="J2" s="105"/>
      <c r="K2" s="105"/>
    </row>
    <row r="3" spans="1:16" s="110" customFormat="1" x14ac:dyDescent="0.3">
      <c r="C3" s="111"/>
      <c r="D3" s="111"/>
      <c r="G3" s="111"/>
      <c r="J3" s="111"/>
      <c r="K3" s="111"/>
    </row>
    <row r="4" spans="1:16" x14ac:dyDescent="0.3">
      <c r="A4" s="78"/>
      <c r="B4" s="78"/>
      <c r="C4" s="77"/>
      <c r="D4" s="77"/>
      <c r="E4" s="78"/>
      <c r="F4" s="78"/>
      <c r="G4" s="77"/>
      <c r="H4" s="78"/>
      <c r="I4" s="78"/>
      <c r="J4" s="77"/>
      <c r="K4" s="77"/>
      <c r="L4" s="78"/>
      <c r="M4" s="78"/>
      <c r="N4" s="78"/>
      <c r="O4" s="78"/>
      <c r="P4" s="78"/>
    </row>
    <row r="5" spans="1:16" x14ac:dyDescent="0.3">
      <c r="A5" s="78"/>
      <c r="P5" s="78"/>
    </row>
    <row r="6" spans="1:16" ht="25.8" x14ac:dyDescent="0.5">
      <c r="A6" s="78"/>
      <c r="C6" s="118" t="s">
        <v>0</v>
      </c>
      <c r="D6" s="118"/>
      <c r="E6" s="118"/>
      <c r="F6" s="118"/>
      <c r="G6" s="118"/>
      <c r="H6" s="118"/>
      <c r="I6" s="118"/>
      <c r="J6" s="118"/>
      <c r="K6" s="118"/>
      <c r="L6" s="118"/>
      <c r="M6" s="118"/>
      <c r="N6" s="118"/>
      <c r="P6" s="78"/>
    </row>
    <row r="7" spans="1:16" x14ac:dyDescent="0.3">
      <c r="A7" s="78"/>
      <c r="P7" s="78"/>
    </row>
    <row r="8" spans="1:16" x14ac:dyDescent="0.3">
      <c r="A8" s="78"/>
      <c r="C8" s="10" t="s">
        <v>1</v>
      </c>
      <c r="D8" s="10" t="s">
        <v>13</v>
      </c>
      <c r="E8" s="10" t="s">
        <v>2</v>
      </c>
      <c r="F8" s="10" t="s">
        <v>12</v>
      </c>
      <c r="G8" s="10" t="s">
        <v>3</v>
      </c>
      <c r="H8" s="10" t="s">
        <v>4</v>
      </c>
      <c r="I8" s="10" t="s">
        <v>5</v>
      </c>
      <c r="J8" s="10" t="s">
        <v>6</v>
      </c>
      <c r="K8" s="10" t="s">
        <v>7</v>
      </c>
      <c r="L8" s="10" t="s">
        <v>9</v>
      </c>
      <c r="M8" s="10" t="s">
        <v>10</v>
      </c>
      <c r="N8" s="10" t="s">
        <v>8</v>
      </c>
      <c r="P8" s="78"/>
    </row>
    <row r="9" spans="1:16" x14ac:dyDescent="0.3">
      <c r="A9" s="78"/>
      <c r="C9" s="6">
        <v>1</v>
      </c>
      <c r="D9" s="6" t="s">
        <v>47</v>
      </c>
      <c r="E9" s="7" t="s">
        <v>118</v>
      </c>
      <c r="F9" s="7" t="s">
        <v>14</v>
      </c>
      <c r="G9" s="6"/>
      <c r="H9" s="103"/>
      <c r="I9" s="7"/>
      <c r="J9" s="6" t="s">
        <v>35</v>
      </c>
      <c r="K9" s="6" t="s">
        <v>33</v>
      </c>
      <c r="L9" s="7"/>
      <c r="M9" s="7"/>
      <c r="N9" s="7"/>
      <c r="P9" s="78"/>
    </row>
    <row r="10" spans="1:16" x14ac:dyDescent="0.3">
      <c r="A10" s="78"/>
      <c r="C10" s="6">
        <v>2</v>
      </c>
      <c r="D10" s="6" t="s">
        <v>47</v>
      </c>
      <c r="E10" s="7" t="s">
        <v>119</v>
      </c>
      <c r="F10" s="7" t="s">
        <v>15</v>
      </c>
      <c r="G10" s="6"/>
      <c r="H10" s="7"/>
      <c r="I10" s="7"/>
      <c r="J10" s="6" t="s">
        <v>35</v>
      </c>
      <c r="K10" s="6" t="s">
        <v>34</v>
      </c>
      <c r="L10" s="7"/>
      <c r="M10" s="7"/>
      <c r="N10" s="7"/>
      <c r="P10" s="78"/>
    </row>
    <row r="11" spans="1:16" x14ac:dyDescent="0.3">
      <c r="A11" s="78"/>
      <c r="C11" s="6">
        <v>3</v>
      </c>
      <c r="D11" s="6" t="s">
        <v>47</v>
      </c>
      <c r="E11" s="7" t="s">
        <v>120</v>
      </c>
      <c r="F11" s="7" t="s">
        <v>16</v>
      </c>
      <c r="G11" s="6"/>
      <c r="H11" s="7"/>
      <c r="I11" s="7"/>
      <c r="J11" s="6" t="s">
        <v>35</v>
      </c>
      <c r="K11" s="6" t="s">
        <v>33</v>
      </c>
      <c r="L11" s="7"/>
      <c r="M11" s="7"/>
      <c r="N11" s="7"/>
      <c r="P11" s="78"/>
    </row>
    <row r="12" spans="1:16" x14ac:dyDescent="0.3">
      <c r="A12" s="78"/>
      <c r="C12" s="6">
        <v>4</v>
      </c>
      <c r="D12" s="6" t="s">
        <v>47</v>
      </c>
      <c r="E12" s="7" t="s">
        <v>117</v>
      </c>
      <c r="F12" s="7" t="s">
        <v>17</v>
      </c>
      <c r="G12" s="6"/>
      <c r="H12" s="7"/>
      <c r="I12" s="7"/>
      <c r="J12" s="6" t="s">
        <v>35</v>
      </c>
      <c r="K12" s="6" t="s">
        <v>34</v>
      </c>
      <c r="L12" s="7"/>
      <c r="M12" s="7"/>
      <c r="N12" s="7"/>
      <c r="P12" s="78"/>
    </row>
    <row r="13" spans="1:16" x14ac:dyDescent="0.3">
      <c r="A13" s="78"/>
      <c r="C13" s="6">
        <v>5</v>
      </c>
      <c r="D13" s="6" t="s">
        <v>45</v>
      </c>
      <c r="E13" s="7" t="s">
        <v>121</v>
      </c>
      <c r="F13" s="7" t="s">
        <v>18</v>
      </c>
      <c r="G13" s="6"/>
      <c r="H13" s="7"/>
      <c r="I13" s="7"/>
      <c r="J13" s="6" t="s">
        <v>35</v>
      </c>
      <c r="K13" s="6" t="s">
        <v>36</v>
      </c>
      <c r="L13" s="7"/>
      <c r="M13" s="7"/>
      <c r="N13" s="7"/>
      <c r="P13" s="78"/>
    </row>
    <row r="14" spans="1:16" x14ac:dyDescent="0.3">
      <c r="A14" s="78"/>
      <c r="C14" s="6">
        <v>6</v>
      </c>
      <c r="D14" s="6" t="s">
        <v>46</v>
      </c>
      <c r="E14" s="7" t="s">
        <v>122</v>
      </c>
      <c r="F14" s="7" t="s">
        <v>18</v>
      </c>
      <c r="G14" s="6"/>
      <c r="H14" s="7"/>
      <c r="I14" s="7"/>
      <c r="J14" s="6" t="s">
        <v>35</v>
      </c>
      <c r="K14" s="6" t="s">
        <v>34</v>
      </c>
      <c r="L14" s="7"/>
      <c r="M14" s="7"/>
      <c r="N14" s="7"/>
      <c r="P14" s="78"/>
    </row>
    <row r="15" spans="1:16" x14ac:dyDescent="0.3">
      <c r="A15" s="78"/>
      <c r="C15" s="6">
        <v>7</v>
      </c>
      <c r="D15" s="6" t="s">
        <v>46</v>
      </c>
      <c r="E15" s="7" t="s">
        <v>123</v>
      </c>
      <c r="F15" s="7" t="s">
        <v>19</v>
      </c>
      <c r="G15" s="6"/>
      <c r="H15" s="103"/>
      <c r="I15" s="7"/>
      <c r="J15" s="6" t="s">
        <v>48</v>
      </c>
      <c r="K15" s="6" t="s">
        <v>37</v>
      </c>
      <c r="L15" s="7"/>
      <c r="M15" s="7"/>
      <c r="N15" s="7"/>
      <c r="P15" s="78"/>
    </row>
    <row r="16" spans="1:16" x14ac:dyDescent="0.3">
      <c r="A16" s="78"/>
      <c r="C16" s="6">
        <v>8</v>
      </c>
      <c r="D16" s="6" t="s">
        <v>46</v>
      </c>
      <c r="E16" s="7" t="s">
        <v>124</v>
      </c>
      <c r="F16" s="7" t="s">
        <v>20</v>
      </c>
      <c r="G16" s="6"/>
      <c r="H16" s="7"/>
      <c r="I16" s="7"/>
      <c r="J16" s="6" t="s">
        <v>48</v>
      </c>
      <c r="K16" s="6" t="s">
        <v>34</v>
      </c>
      <c r="L16" s="7"/>
      <c r="M16" s="7"/>
      <c r="N16" s="7"/>
      <c r="P16" s="78"/>
    </row>
    <row r="17" spans="1:16" x14ac:dyDescent="0.3">
      <c r="A17" s="78"/>
      <c r="C17" s="6">
        <v>9</v>
      </c>
      <c r="D17" s="6" t="s">
        <v>47</v>
      </c>
      <c r="E17" s="7" t="s">
        <v>125</v>
      </c>
      <c r="F17" s="7" t="s">
        <v>21</v>
      </c>
      <c r="G17" s="6"/>
      <c r="H17" s="103"/>
      <c r="I17" s="7"/>
      <c r="J17" s="6" t="s">
        <v>35</v>
      </c>
      <c r="K17" s="6" t="s">
        <v>33</v>
      </c>
      <c r="L17" s="7"/>
      <c r="M17" s="7"/>
      <c r="N17" s="7"/>
      <c r="P17" s="78"/>
    </row>
    <row r="18" spans="1:16" x14ac:dyDescent="0.3">
      <c r="A18" s="78"/>
      <c r="C18" s="6">
        <v>10</v>
      </c>
      <c r="D18" s="6" t="s">
        <v>47</v>
      </c>
      <c r="E18" s="7" t="s">
        <v>126</v>
      </c>
      <c r="F18" s="7" t="s">
        <v>22</v>
      </c>
      <c r="G18" s="6"/>
      <c r="H18" s="7"/>
      <c r="I18" s="7"/>
      <c r="J18" s="6" t="s">
        <v>35</v>
      </c>
      <c r="K18" s="6" t="s">
        <v>37</v>
      </c>
      <c r="L18" s="7"/>
      <c r="M18" s="7"/>
      <c r="N18" s="7"/>
      <c r="P18" s="78"/>
    </row>
    <row r="19" spans="1:16" x14ac:dyDescent="0.3">
      <c r="A19" s="78"/>
      <c r="C19" s="6">
        <v>11</v>
      </c>
      <c r="D19" s="6" t="s">
        <v>46</v>
      </c>
      <c r="E19" s="7" t="s">
        <v>127</v>
      </c>
      <c r="F19" s="7" t="s">
        <v>23</v>
      </c>
      <c r="G19" s="6"/>
      <c r="H19" s="103"/>
      <c r="I19" s="7"/>
      <c r="J19" s="6" t="s">
        <v>48</v>
      </c>
      <c r="K19" s="6" t="s">
        <v>33</v>
      </c>
      <c r="L19" s="7"/>
      <c r="M19" s="7"/>
      <c r="N19" s="7"/>
      <c r="P19" s="78"/>
    </row>
    <row r="20" spans="1:16" x14ac:dyDescent="0.3">
      <c r="A20" s="78"/>
      <c r="C20" s="6">
        <v>12</v>
      </c>
      <c r="D20" s="6" t="s">
        <v>46</v>
      </c>
      <c r="E20" s="7" t="s">
        <v>115</v>
      </c>
      <c r="F20" s="7" t="s">
        <v>24</v>
      </c>
      <c r="G20" s="6"/>
      <c r="H20" s="103"/>
      <c r="I20" s="7"/>
      <c r="J20" s="6" t="s">
        <v>35</v>
      </c>
      <c r="K20" s="6" t="s">
        <v>33</v>
      </c>
      <c r="L20" s="7"/>
      <c r="M20" s="7"/>
      <c r="N20" s="7"/>
      <c r="P20" s="78"/>
    </row>
    <row r="21" spans="1:16" x14ac:dyDescent="0.3">
      <c r="A21" s="78"/>
      <c r="C21" s="6">
        <v>13</v>
      </c>
      <c r="D21" s="6" t="s">
        <v>47</v>
      </c>
      <c r="E21" s="7" t="s">
        <v>128</v>
      </c>
      <c r="F21" s="7" t="s">
        <v>25</v>
      </c>
      <c r="G21" s="6"/>
      <c r="H21" s="7"/>
      <c r="I21" s="7"/>
      <c r="J21" s="6" t="s">
        <v>35</v>
      </c>
      <c r="K21" s="6" t="s">
        <v>37</v>
      </c>
      <c r="L21" s="7"/>
      <c r="M21" s="7"/>
      <c r="N21" s="7"/>
      <c r="P21" s="78"/>
    </row>
    <row r="22" spans="1:16" x14ac:dyDescent="0.3">
      <c r="A22" s="78"/>
      <c r="C22" s="6">
        <v>14</v>
      </c>
      <c r="D22" s="6" t="s">
        <v>47</v>
      </c>
      <c r="E22" s="7" t="s">
        <v>129</v>
      </c>
      <c r="F22" s="7" t="s">
        <v>26</v>
      </c>
      <c r="G22" s="6"/>
      <c r="H22" s="7"/>
      <c r="I22" s="7"/>
      <c r="J22" s="6" t="s">
        <v>35</v>
      </c>
      <c r="K22" s="6" t="s">
        <v>36</v>
      </c>
      <c r="L22" s="7"/>
      <c r="M22" s="7"/>
      <c r="N22" s="7"/>
      <c r="P22" s="78"/>
    </row>
    <row r="23" spans="1:16" x14ac:dyDescent="0.3">
      <c r="A23" s="78"/>
      <c r="C23" s="6">
        <v>15</v>
      </c>
      <c r="D23" s="6" t="s">
        <v>45</v>
      </c>
      <c r="E23" s="7" t="s">
        <v>130</v>
      </c>
      <c r="F23" s="7" t="s">
        <v>27</v>
      </c>
      <c r="G23" s="6"/>
      <c r="H23" s="7"/>
      <c r="I23" s="7"/>
      <c r="J23" s="6" t="s">
        <v>35</v>
      </c>
      <c r="K23" s="6" t="s">
        <v>36</v>
      </c>
      <c r="L23" s="7"/>
      <c r="M23" s="7"/>
      <c r="N23" s="7"/>
      <c r="P23" s="78"/>
    </row>
    <row r="24" spans="1:16" x14ac:dyDescent="0.3">
      <c r="A24" s="78"/>
      <c r="C24" s="6">
        <v>16</v>
      </c>
      <c r="D24" s="6" t="s">
        <v>46</v>
      </c>
      <c r="E24" s="7" t="s">
        <v>131</v>
      </c>
      <c r="F24" s="7" t="s">
        <v>28</v>
      </c>
      <c r="G24" s="6"/>
      <c r="H24" s="7"/>
      <c r="I24" s="7"/>
      <c r="J24" s="6" t="s">
        <v>48</v>
      </c>
      <c r="K24" s="6" t="s">
        <v>36</v>
      </c>
      <c r="L24" s="7"/>
      <c r="M24" s="7"/>
      <c r="N24" s="7"/>
      <c r="P24" s="78"/>
    </row>
    <row r="25" spans="1:16" x14ac:dyDescent="0.3">
      <c r="A25" s="78"/>
      <c r="C25" s="6">
        <v>17</v>
      </c>
      <c r="D25" s="6" t="s">
        <v>46</v>
      </c>
      <c r="E25" s="7" t="s">
        <v>132</v>
      </c>
      <c r="F25" s="7" t="s">
        <v>29</v>
      </c>
      <c r="G25" s="6"/>
      <c r="H25" s="7"/>
      <c r="I25" s="7"/>
      <c r="J25" s="6" t="s">
        <v>35</v>
      </c>
      <c r="K25" s="6" t="s">
        <v>33</v>
      </c>
      <c r="L25" s="7"/>
      <c r="M25" s="7"/>
      <c r="N25" s="7"/>
      <c r="P25" s="78"/>
    </row>
    <row r="26" spans="1:16" x14ac:dyDescent="0.3">
      <c r="A26" s="78"/>
      <c r="C26" s="6">
        <v>18</v>
      </c>
      <c r="D26" s="6" t="s">
        <v>46</v>
      </c>
      <c r="E26" s="7" t="s">
        <v>133</v>
      </c>
      <c r="F26" s="7" t="s">
        <v>30</v>
      </c>
      <c r="G26" s="6"/>
      <c r="H26" s="7"/>
      <c r="I26" s="7"/>
      <c r="J26" s="6" t="s">
        <v>35</v>
      </c>
      <c r="K26" s="6" t="s">
        <v>37</v>
      </c>
      <c r="L26" s="7"/>
      <c r="M26" s="7"/>
      <c r="N26" s="7"/>
      <c r="P26" s="78"/>
    </row>
    <row r="27" spans="1:16" x14ac:dyDescent="0.3">
      <c r="A27" s="78"/>
      <c r="C27" s="6">
        <v>19</v>
      </c>
      <c r="D27" s="6" t="s">
        <v>46</v>
      </c>
      <c r="E27" s="7" t="s">
        <v>134</v>
      </c>
      <c r="F27" s="7" t="s">
        <v>31</v>
      </c>
      <c r="G27" s="6"/>
      <c r="H27" s="7"/>
      <c r="I27" s="7"/>
      <c r="J27" s="6" t="s">
        <v>35</v>
      </c>
      <c r="K27" s="6" t="s">
        <v>33</v>
      </c>
      <c r="L27" s="7"/>
      <c r="M27" s="7"/>
      <c r="N27" s="7"/>
      <c r="P27" s="78"/>
    </row>
    <row r="28" spans="1:16" x14ac:dyDescent="0.3">
      <c r="A28" s="78"/>
      <c r="C28" s="6">
        <v>20</v>
      </c>
      <c r="D28" s="6" t="s">
        <v>46</v>
      </c>
      <c r="E28" s="7" t="s">
        <v>135</v>
      </c>
      <c r="F28" s="7" t="s">
        <v>32</v>
      </c>
      <c r="G28" s="6"/>
      <c r="H28" s="7"/>
      <c r="I28" s="7"/>
      <c r="J28" s="6" t="s">
        <v>48</v>
      </c>
      <c r="K28" s="6" t="s">
        <v>33</v>
      </c>
      <c r="L28" s="7"/>
      <c r="M28" s="7"/>
      <c r="N28" s="7"/>
      <c r="P28" s="78"/>
    </row>
    <row r="29" spans="1:16" x14ac:dyDescent="0.3">
      <c r="A29" s="78"/>
      <c r="C29" s="6">
        <v>21</v>
      </c>
      <c r="D29" s="6"/>
      <c r="E29" s="7"/>
      <c r="F29" s="7"/>
      <c r="G29" s="6"/>
      <c r="H29" s="7"/>
      <c r="I29" s="7"/>
      <c r="J29" s="6"/>
      <c r="K29" s="6"/>
      <c r="L29" s="7"/>
      <c r="M29" s="7"/>
      <c r="N29" s="7"/>
      <c r="P29" s="78"/>
    </row>
    <row r="30" spans="1:16" x14ac:dyDescent="0.3">
      <c r="A30" s="78"/>
      <c r="C30" s="6">
        <v>22</v>
      </c>
      <c r="D30" s="6"/>
      <c r="E30" s="7"/>
      <c r="F30" s="7"/>
      <c r="G30" s="6"/>
      <c r="H30" s="7"/>
      <c r="I30" s="7"/>
      <c r="J30" s="6"/>
      <c r="K30" s="6"/>
      <c r="L30" s="7"/>
      <c r="M30" s="7"/>
      <c r="N30" s="7"/>
      <c r="P30" s="78"/>
    </row>
    <row r="31" spans="1:16" x14ac:dyDescent="0.3">
      <c r="A31" s="78"/>
      <c r="C31" s="6">
        <v>23</v>
      </c>
      <c r="D31" s="6"/>
      <c r="E31" s="7"/>
      <c r="F31" s="7"/>
      <c r="G31" s="6"/>
      <c r="H31" s="7"/>
      <c r="I31" s="7"/>
      <c r="J31" s="6"/>
      <c r="K31" s="6"/>
      <c r="L31" s="7"/>
      <c r="M31" s="7"/>
      <c r="N31" s="7"/>
      <c r="P31" s="78"/>
    </row>
    <row r="32" spans="1:16" x14ac:dyDescent="0.3">
      <c r="A32" s="78"/>
      <c r="C32" s="6">
        <v>24</v>
      </c>
      <c r="D32" s="6"/>
      <c r="E32" s="7"/>
      <c r="F32" s="7"/>
      <c r="G32" s="6"/>
      <c r="H32" s="7"/>
      <c r="I32" s="7"/>
      <c r="J32" s="6"/>
      <c r="K32" s="6"/>
      <c r="L32" s="7"/>
      <c r="M32" s="7"/>
      <c r="N32" s="7"/>
      <c r="P32" s="78"/>
    </row>
    <row r="33" spans="1:16" x14ac:dyDescent="0.3">
      <c r="A33" s="78"/>
      <c r="C33" s="6">
        <v>25</v>
      </c>
      <c r="D33" s="6"/>
      <c r="E33" s="7"/>
      <c r="F33" s="7"/>
      <c r="G33" s="6"/>
      <c r="H33" s="7"/>
      <c r="I33" s="7"/>
      <c r="J33" s="6"/>
      <c r="K33" s="6"/>
      <c r="L33" s="7"/>
      <c r="M33" s="7"/>
      <c r="N33" s="7"/>
      <c r="P33" s="78"/>
    </row>
    <row r="34" spans="1:16" x14ac:dyDescent="0.3">
      <c r="A34" s="78"/>
      <c r="C34" s="6">
        <v>26</v>
      </c>
      <c r="D34" s="6"/>
      <c r="E34" s="7"/>
      <c r="F34" s="7"/>
      <c r="G34" s="6"/>
      <c r="H34" s="7"/>
      <c r="I34" s="7"/>
      <c r="J34" s="6"/>
      <c r="K34" s="6"/>
      <c r="L34" s="7"/>
      <c r="M34" s="7"/>
      <c r="N34" s="7"/>
      <c r="P34" s="78"/>
    </row>
    <row r="35" spans="1:16" x14ac:dyDescent="0.3">
      <c r="A35" s="78"/>
      <c r="C35" s="6">
        <v>27</v>
      </c>
      <c r="D35" s="6"/>
      <c r="E35" s="7"/>
      <c r="F35" s="7"/>
      <c r="G35" s="6"/>
      <c r="H35" s="7"/>
      <c r="I35" s="7"/>
      <c r="J35" s="6"/>
      <c r="K35" s="6"/>
      <c r="L35" s="7"/>
      <c r="M35" s="7"/>
      <c r="N35" s="7"/>
      <c r="P35" s="78"/>
    </row>
    <row r="36" spans="1:16" x14ac:dyDescent="0.3">
      <c r="A36" s="78"/>
      <c r="C36" s="6">
        <v>28</v>
      </c>
      <c r="D36" s="6"/>
      <c r="E36" s="7"/>
      <c r="F36" s="7"/>
      <c r="G36" s="6"/>
      <c r="H36" s="7"/>
      <c r="I36" s="7"/>
      <c r="J36" s="6"/>
      <c r="K36" s="6"/>
      <c r="L36" s="7"/>
      <c r="M36" s="7"/>
      <c r="N36" s="7"/>
      <c r="P36" s="78"/>
    </row>
    <row r="37" spans="1:16" x14ac:dyDescent="0.3">
      <c r="A37" s="78"/>
      <c r="C37" s="6">
        <v>29</v>
      </c>
      <c r="D37" s="6"/>
      <c r="E37" s="7"/>
      <c r="F37" s="7"/>
      <c r="G37" s="6"/>
      <c r="H37" s="7"/>
      <c r="I37" s="7"/>
      <c r="J37" s="6"/>
      <c r="K37" s="6"/>
      <c r="L37" s="7"/>
      <c r="M37" s="7"/>
      <c r="N37" s="7"/>
      <c r="P37" s="78"/>
    </row>
    <row r="38" spans="1:16" x14ac:dyDescent="0.3">
      <c r="A38" s="78"/>
      <c r="C38" s="6">
        <v>30</v>
      </c>
      <c r="D38" s="6"/>
      <c r="E38" s="7"/>
      <c r="F38" s="7"/>
      <c r="G38" s="6"/>
      <c r="H38" s="7"/>
      <c r="I38" s="7"/>
      <c r="J38" s="6"/>
      <c r="K38" s="6"/>
      <c r="L38" s="7"/>
      <c r="M38" s="7"/>
      <c r="N38" s="7"/>
      <c r="P38" s="78"/>
    </row>
    <row r="39" spans="1:16" x14ac:dyDescent="0.3">
      <c r="A39" s="78"/>
      <c r="C39" s="6">
        <v>31</v>
      </c>
      <c r="D39" s="6"/>
      <c r="E39" s="7"/>
      <c r="F39" s="7"/>
      <c r="G39" s="6"/>
      <c r="H39" s="7"/>
      <c r="I39" s="7"/>
      <c r="J39" s="6"/>
      <c r="K39" s="6"/>
      <c r="L39" s="7"/>
      <c r="M39" s="7"/>
      <c r="N39" s="7"/>
      <c r="P39" s="78"/>
    </row>
    <row r="40" spans="1:16" x14ac:dyDescent="0.3">
      <c r="A40" s="78"/>
      <c r="C40" s="6">
        <v>32</v>
      </c>
      <c r="D40" s="6"/>
      <c r="E40" s="7"/>
      <c r="F40" s="7"/>
      <c r="G40" s="6"/>
      <c r="H40" s="7"/>
      <c r="I40" s="7"/>
      <c r="J40" s="6"/>
      <c r="K40" s="6"/>
      <c r="L40" s="7"/>
      <c r="M40" s="7"/>
      <c r="N40" s="7"/>
      <c r="P40" s="78"/>
    </row>
    <row r="41" spans="1:16" x14ac:dyDescent="0.3">
      <c r="A41" s="78"/>
      <c r="C41" s="6">
        <v>33</v>
      </c>
      <c r="D41" s="6"/>
      <c r="E41" s="7"/>
      <c r="F41" s="7"/>
      <c r="G41" s="6"/>
      <c r="H41" s="7"/>
      <c r="I41" s="7"/>
      <c r="J41" s="6"/>
      <c r="K41" s="6"/>
      <c r="L41" s="7"/>
      <c r="M41" s="7"/>
      <c r="N41" s="7"/>
      <c r="P41" s="78"/>
    </row>
    <row r="42" spans="1:16" x14ac:dyDescent="0.3">
      <c r="A42" s="78"/>
      <c r="C42" s="6">
        <v>34</v>
      </c>
      <c r="D42" s="6"/>
      <c r="E42" s="7"/>
      <c r="F42" s="7"/>
      <c r="G42" s="6"/>
      <c r="H42" s="7"/>
      <c r="I42" s="7"/>
      <c r="J42" s="6"/>
      <c r="K42" s="6"/>
      <c r="L42" s="7"/>
      <c r="M42" s="7"/>
      <c r="N42" s="7"/>
      <c r="P42" s="78"/>
    </row>
    <row r="43" spans="1:16" x14ac:dyDescent="0.3">
      <c r="A43" s="78"/>
      <c r="C43" s="6">
        <v>35</v>
      </c>
      <c r="D43" s="6"/>
      <c r="E43" s="7"/>
      <c r="F43" s="7"/>
      <c r="G43" s="6"/>
      <c r="H43" s="7"/>
      <c r="I43" s="7"/>
      <c r="J43" s="6"/>
      <c r="K43" s="6"/>
      <c r="L43" s="7"/>
      <c r="M43" s="7"/>
      <c r="N43" s="7"/>
      <c r="P43" s="78"/>
    </row>
    <row r="44" spans="1:16" x14ac:dyDescent="0.3">
      <c r="A44" s="78"/>
      <c r="C44" s="6">
        <v>36</v>
      </c>
      <c r="D44" s="6"/>
      <c r="E44" s="7"/>
      <c r="F44" s="7"/>
      <c r="G44" s="6"/>
      <c r="H44" s="7"/>
      <c r="I44" s="7"/>
      <c r="J44" s="6"/>
      <c r="K44" s="6"/>
      <c r="L44" s="7"/>
      <c r="M44" s="7"/>
      <c r="N44" s="7"/>
      <c r="P44" s="78"/>
    </row>
    <row r="45" spans="1:16" x14ac:dyDescent="0.3">
      <c r="A45" s="78"/>
      <c r="C45" s="6">
        <v>37</v>
      </c>
      <c r="D45" s="6"/>
      <c r="E45" s="7"/>
      <c r="F45" s="7"/>
      <c r="G45" s="6"/>
      <c r="H45" s="7"/>
      <c r="I45" s="7"/>
      <c r="J45" s="6"/>
      <c r="K45" s="6"/>
      <c r="L45" s="7"/>
      <c r="M45" s="7"/>
      <c r="N45" s="7"/>
      <c r="P45" s="78"/>
    </row>
    <row r="46" spans="1:16" x14ac:dyDescent="0.3">
      <c r="A46" s="78"/>
      <c r="C46" s="6">
        <v>38</v>
      </c>
      <c r="D46" s="6"/>
      <c r="E46" s="7"/>
      <c r="F46" s="7"/>
      <c r="G46" s="6"/>
      <c r="H46" s="7"/>
      <c r="I46" s="7"/>
      <c r="J46" s="6"/>
      <c r="K46" s="6"/>
      <c r="L46" s="7"/>
      <c r="M46" s="7"/>
      <c r="N46" s="7"/>
      <c r="P46" s="78"/>
    </row>
    <row r="47" spans="1:16" x14ac:dyDescent="0.3">
      <c r="A47" s="78"/>
      <c r="C47" s="6">
        <v>39</v>
      </c>
      <c r="D47" s="6"/>
      <c r="E47" s="7"/>
      <c r="F47" s="7"/>
      <c r="G47" s="6"/>
      <c r="H47" s="7"/>
      <c r="I47" s="7"/>
      <c r="J47" s="6"/>
      <c r="K47" s="6"/>
      <c r="L47" s="7"/>
      <c r="M47" s="7"/>
      <c r="N47" s="7"/>
      <c r="P47" s="78"/>
    </row>
    <row r="48" spans="1:16" x14ac:dyDescent="0.3">
      <c r="A48" s="78"/>
      <c r="C48" s="8">
        <v>40</v>
      </c>
      <c r="D48" s="8"/>
      <c r="E48" s="9"/>
      <c r="F48" s="9"/>
      <c r="G48" s="8"/>
      <c r="H48" s="9"/>
      <c r="I48" s="9"/>
      <c r="J48" s="8"/>
      <c r="K48" s="8"/>
      <c r="L48" s="9"/>
      <c r="M48" s="9"/>
      <c r="N48" s="9"/>
      <c r="P48" s="78"/>
    </row>
    <row r="49" spans="1:16" x14ac:dyDescent="0.3">
      <c r="A49" s="78"/>
      <c r="P49" s="78"/>
    </row>
    <row r="50" spans="1:16" x14ac:dyDescent="0.3">
      <c r="A50" s="78"/>
      <c r="P50" s="78"/>
    </row>
    <row r="51" spans="1:16" x14ac:dyDescent="0.3">
      <c r="A51" s="78"/>
      <c r="B51" s="78"/>
      <c r="C51" s="77"/>
      <c r="D51" s="77"/>
      <c r="E51" s="78"/>
      <c r="F51" s="78"/>
      <c r="G51" s="77"/>
      <c r="H51" s="78"/>
      <c r="I51" s="78"/>
      <c r="J51" s="77"/>
      <c r="K51" s="77"/>
      <c r="L51" s="78"/>
      <c r="M51" s="78"/>
      <c r="N51" s="78"/>
      <c r="O51" s="78"/>
      <c r="P51" s="78"/>
    </row>
    <row r="52" spans="1:16" x14ac:dyDescent="0.3">
      <c r="A52" s="78"/>
      <c r="B52" s="78"/>
      <c r="C52" s="77"/>
      <c r="D52" s="77"/>
      <c r="E52" s="78"/>
      <c r="F52" s="78"/>
      <c r="G52" s="77"/>
      <c r="H52" s="78"/>
      <c r="I52" s="78"/>
      <c r="J52" s="77"/>
      <c r="K52" s="77"/>
      <c r="L52" s="78"/>
      <c r="M52" s="78"/>
      <c r="N52" s="78"/>
      <c r="O52" s="78"/>
      <c r="P52" s="78"/>
    </row>
    <row r="53" spans="1:16" x14ac:dyDescent="0.3">
      <c r="A53" s="78"/>
      <c r="B53" s="78"/>
      <c r="C53" s="77"/>
      <c r="D53" s="77"/>
      <c r="E53" s="78"/>
      <c r="F53" s="78"/>
      <c r="G53" s="77"/>
      <c r="H53" s="78"/>
      <c r="I53" s="78"/>
      <c r="J53" s="77"/>
      <c r="K53" s="77"/>
      <c r="L53" s="78"/>
      <c r="M53" s="78"/>
      <c r="N53" s="78"/>
      <c r="O53" s="78"/>
      <c r="P53" s="78"/>
    </row>
  </sheetData>
  <mergeCells count="1">
    <mergeCell ref="C6:N6"/>
  </mergeCells>
  <conditionalFormatting sqref="J9:K48">
    <cfRule type="expression" dxfId="24" priority="1">
      <formula>$J9="Trưởng ban"</formula>
    </cfRule>
  </conditionalFormatting>
  <dataValidations count="3">
    <dataValidation type="list" allowBlank="1" showInputMessage="1" showErrorMessage="1" sqref="K9:K45" xr:uid="{AAB9B0ED-6098-4A41-8296-F8B294323B71}">
      <formula1>INDIRECT("Ban")</formula1>
    </dataValidation>
    <dataValidation type="list" allowBlank="1" showInputMessage="1" showErrorMessage="1" sqref="D9:D45" xr:uid="{329730B0-9BEF-4A90-BD76-34CD0A943DC8}">
      <formula1>INDIRECT("Gen")</formula1>
    </dataValidation>
    <dataValidation type="list" allowBlank="1" showInputMessage="1" showErrorMessage="1" sqref="J9:J48" xr:uid="{401F752A-5175-4C30-B06A-658135F72A07}">
      <formula1>"Trưởng ban,Thành viên"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28C7B-9475-4B02-8B4D-6C91ABA364A6}">
  <sheetPr codeName="Sheet4"/>
  <dimension ref="A1:BZ59"/>
  <sheetViews>
    <sheetView showGridLines="0" showRowColHeaders="0" workbookViewId="0">
      <pane xSplit="5" ySplit="13" topLeftCell="F14" activePane="bottomRight" state="frozen"/>
      <selection pane="topRight" activeCell="F1" sqref="F1"/>
      <selection pane="bottomLeft" activeCell="A14" sqref="A14"/>
      <selection pane="bottomRight"/>
    </sheetView>
  </sheetViews>
  <sheetFormatPr defaultColWidth="0" defaultRowHeight="14.4" zeroHeight="1" x14ac:dyDescent="0.3"/>
  <cols>
    <col min="1" max="1" width="8.88671875" style="78" customWidth="1"/>
    <col min="2" max="2" width="3.33203125" style="2" customWidth="1"/>
    <col min="3" max="3" width="5.21875" style="3" customWidth="1"/>
    <col min="4" max="4" width="23" style="2" bestFit="1" customWidth="1"/>
    <col min="5" max="5" width="12" style="3" customWidth="1"/>
    <col min="6" max="36" width="3.44140625" style="3" bestFit="1" customWidth="1"/>
    <col min="37" max="37" width="6.77734375" style="3" customWidth="1"/>
    <col min="38" max="68" width="3.44140625" style="3" bestFit="1" customWidth="1"/>
    <col min="69" max="72" width="6.77734375" style="3" customWidth="1"/>
    <col min="73" max="73" width="9.88671875" style="2" customWidth="1"/>
    <col min="74" max="74" width="3.33203125" style="2" customWidth="1"/>
    <col min="75" max="75" width="8.77734375" style="78" customWidth="1"/>
    <col min="76" max="78" width="8.88671875" style="78" hidden="1" customWidth="1"/>
    <col min="79" max="16384" width="8.88671875" style="2" hidden="1"/>
  </cols>
  <sheetData>
    <row r="1" spans="3:73" s="104" customFormat="1" x14ac:dyDescent="0.3">
      <c r="C1" s="105"/>
      <c r="D1" s="106">
        <f>D2-1</f>
        <v>44196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</row>
    <row r="2" spans="3:73" s="104" customFormat="1" x14ac:dyDescent="0.3">
      <c r="C2" s="105"/>
      <c r="D2" s="107" t="str">
        <f>"01/01/"&amp;E9</f>
        <v>01/01/2021</v>
      </c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105"/>
      <c r="BP2" s="105"/>
      <c r="BQ2" s="105"/>
      <c r="BR2" s="105"/>
      <c r="BS2" s="105"/>
      <c r="BT2" s="105"/>
    </row>
    <row r="3" spans="3:73" s="110" customFormat="1" x14ac:dyDescent="0.3">
      <c r="C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1"/>
      <c r="AU3" s="111"/>
      <c r="AV3" s="111"/>
      <c r="AW3" s="111"/>
      <c r="AX3" s="111"/>
      <c r="AY3" s="111"/>
      <c r="AZ3" s="111"/>
      <c r="BA3" s="111"/>
      <c r="BB3" s="111"/>
      <c r="BC3" s="111"/>
      <c r="BD3" s="111"/>
      <c r="BE3" s="111"/>
      <c r="BF3" s="111"/>
      <c r="BG3" s="111"/>
      <c r="BH3" s="111"/>
      <c r="BI3" s="111"/>
      <c r="BJ3" s="111"/>
      <c r="BK3" s="111"/>
      <c r="BL3" s="111"/>
      <c r="BM3" s="111"/>
      <c r="BN3" s="111"/>
      <c r="BO3" s="111"/>
      <c r="BP3" s="111"/>
      <c r="BQ3" s="111"/>
      <c r="BR3" s="111"/>
      <c r="BS3" s="111"/>
      <c r="BT3" s="111"/>
    </row>
    <row r="4" spans="3:73" s="78" customFormat="1" x14ac:dyDescent="0.3">
      <c r="C4" s="77"/>
      <c r="D4" s="79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  <c r="BC4" s="77"/>
      <c r="BD4" s="77"/>
      <c r="BE4" s="77"/>
      <c r="BF4" s="77"/>
      <c r="BG4" s="77"/>
      <c r="BH4" s="77"/>
      <c r="BI4" s="77"/>
      <c r="BJ4" s="77"/>
      <c r="BK4" s="77"/>
      <c r="BL4" s="77"/>
      <c r="BM4" s="77"/>
      <c r="BN4" s="77"/>
      <c r="BO4" s="77"/>
      <c r="BP4" s="77"/>
      <c r="BQ4" s="77"/>
      <c r="BR4" s="77"/>
      <c r="BS4" s="77"/>
      <c r="BT4" s="77"/>
    </row>
    <row r="5" spans="3:73" x14ac:dyDescent="0.3"/>
    <row r="6" spans="3:73" x14ac:dyDescent="0.3">
      <c r="D6" s="41" t="s">
        <v>49</v>
      </c>
      <c r="E6" s="42">
        <f>COUNTIFS(F13:AJ13,"&gt;1",F13:AJ13,"&lt;7")</f>
        <v>21</v>
      </c>
    </row>
    <row r="7" spans="3:73" x14ac:dyDescent="0.3">
      <c r="C7" s="1"/>
      <c r="D7" s="1"/>
    </row>
    <row r="8" spans="3:73" ht="25.8" x14ac:dyDescent="0.5">
      <c r="C8" s="2"/>
      <c r="D8" s="39" t="s">
        <v>50</v>
      </c>
      <c r="E8" s="39"/>
    </row>
    <row r="9" spans="3:73" x14ac:dyDescent="0.3">
      <c r="D9" s="40" t="s">
        <v>87</v>
      </c>
      <c r="E9" s="1">
        <v>2021</v>
      </c>
    </row>
    <row r="10" spans="3:73" x14ac:dyDescent="0.3"/>
    <row r="11" spans="3:73" ht="13.8" customHeight="1" x14ac:dyDescent="0.3">
      <c r="C11" s="120" t="s">
        <v>1</v>
      </c>
      <c r="D11" s="120" t="s">
        <v>2</v>
      </c>
      <c r="E11" s="120" t="s">
        <v>6</v>
      </c>
      <c r="F11" s="120" t="s">
        <v>51</v>
      </c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/>
      <c r="AK11" s="119" t="s">
        <v>54</v>
      </c>
      <c r="AL11" s="120" t="s">
        <v>52</v>
      </c>
      <c r="AM11" s="120"/>
      <c r="AN11" s="120"/>
      <c r="AO11" s="120"/>
      <c r="AP11" s="120"/>
      <c r="AQ11" s="120"/>
      <c r="AR11" s="120"/>
      <c r="AS11" s="120"/>
      <c r="AT11" s="120"/>
      <c r="AU11" s="120"/>
      <c r="AV11" s="120"/>
      <c r="AW11" s="120"/>
      <c r="AX11" s="120"/>
      <c r="AY11" s="120"/>
      <c r="AZ11" s="120"/>
      <c r="BA11" s="120"/>
      <c r="BB11" s="120"/>
      <c r="BC11" s="120"/>
      <c r="BD11" s="120"/>
      <c r="BE11" s="120"/>
      <c r="BF11" s="120"/>
      <c r="BG11" s="120"/>
      <c r="BH11" s="120"/>
      <c r="BI11" s="120"/>
      <c r="BJ11" s="120"/>
      <c r="BK11" s="120"/>
      <c r="BL11" s="120"/>
      <c r="BM11" s="120"/>
      <c r="BN11" s="120"/>
      <c r="BO11" s="120"/>
      <c r="BP11" s="120"/>
      <c r="BQ11" s="119" t="s">
        <v>112</v>
      </c>
      <c r="BR11" s="122" t="s">
        <v>113</v>
      </c>
      <c r="BS11" s="122" t="s">
        <v>114</v>
      </c>
      <c r="BT11" s="119" t="s">
        <v>53</v>
      </c>
      <c r="BU11" s="120" t="s">
        <v>8</v>
      </c>
    </row>
    <row r="12" spans="3:73" x14ac:dyDescent="0.3">
      <c r="C12" s="120"/>
      <c r="D12" s="120"/>
      <c r="E12" s="120"/>
      <c r="F12" s="18">
        <v>1</v>
      </c>
      <c r="G12" s="18">
        <v>2</v>
      </c>
      <c r="H12" s="18">
        <v>3</v>
      </c>
      <c r="I12" s="18">
        <v>4</v>
      </c>
      <c r="J12" s="18">
        <v>5</v>
      </c>
      <c r="K12" s="18">
        <v>6</v>
      </c>
      <c r="L12" s="18">
        <v>7</v>
      </c>
      <c r="M12" s="18">
        <v>8</v>
      </c>
      <c r="N12" s="18">
        <v>9</v>
      </c>
      <c r="O12" s="18">
        <v>10</v>
      </c>
      <c r="P12" s="18">
        <v>11</v>
      </c>
      <c r="Q12" s="18">
        <v>12</v>
      </c>
      <c r="R12" s="18">
        <v>13</v>
      </c>
      <c r="S12" s="18">
        <v>14</v>
      </c>
      <c r="T12" s="18">
        <v>15</v>
      </c>
      <c r="U12" s="18">
        <v>16</v>
      </c>
      <c r="V12" s="18">
        <v>17</v>
      </c>
      <c r="W12" s="18">
        <v>18</v>
      </c>
      <c r="X12" s="18">
        <v>19</v>
      </c>
      <c r="Y12" s="18">
        <v>20</v>
      </c>
      <c r="Z12" s="18">
        <v>21</v>
      </c>
      <c r="AA12" s="18">
        <v>22</v>
      </c>
      <c r="AB12" s="18">
        <v>23</v>
      </c>
      <c r="AC12" s="18">
        <v>24</v>
      </c>
      <c r="AD12" s="18">
        <v>25</v>
      </c>
      <c r="AE12" s="18">
        <v>26</v>
      </c>
      <c r="AF12" s="18">
        <v>27</v>
      </c>
      <c r="AG12" s="18">
        <v>28</v>
      </c>
      <c r="AH12" s="18">
        <v>29</v>
      </c>
      <c r="AI12" s="18">
        <v>30</v>
      </c>
      <c r="AJ12" s="18">
        <v>31</v>
      </c>
      <c r="AK12" s="119"/>
      <c r="AL12" s="18">
        <v>1</v>
      </c>
      <c r="AM12" s="18">
        <v>2</v>
      </c>
      <c r="AN12" s="18">
        <v>3</v>
      </c>
      <c r="AO12" s="18">
        <v>4</v>
      </c>
      <c r="AP12" s="18">
        <v>5</v>
      </c>
      <c r="AQ12" s="18">
        <v>6</v>
      </c>
      <c r="AR12" s="18">
        <v>7</v>
      </c>
      <c r="AS12" s="18">
        <v>8</v>
      </c>
      <c r="AT12" s="18">
        <v>9</v>
      </c>
      <c r="AU12" s="18">
        <v>10</v>
      </c>
      <c r="AV12" s="18">
        <v>11</v>
      </c>
      <c r="AW12" s="18">
        <v>12</v>
      </c>
      <c r="AX12" s="18">
        <v>13</v>
      </c>
      <c r="AY12" s="18">
        <v>14</v>
      </c>
      <c r="AZ12" s="18">
        <v>15</v>
      </c>
      <c r="BA12" s="18">
        <v>16</v>
      </c>
      <c r="BB12" s="18">
        <v>17</v>
      </c>
      <c r="BC12" s="18">
        <v>18</v>
      </c>
      <c r="BD12" s="18">
        <v>19</v>
      </c>
      <c r="BE12" s="18">
        <v>20</v>
      </c>
      <c r="BF12" s="18">
        <v>21</v>
      </c>
      <c r="BG12" s="18">
        <v>22</v>
      </c>
      <c r="BH12" s="18">
        <v>23</v>
      </c>
      <c r="BI12" s="18">
        <v>24</v>
      </c>
      <c r="BJ12" s="18">
        <v>25</v>
      </c>
      <c r="BK12" s="18">
        <v>26</v>
      </c>
      <c r="BL12" s="18">
        <v>27</v>
      </c>
      <c r="BM12" s="18">
        <v>28</v>
      </c>
      <c r="BN12" s="18">
        <v>29</v>
      </c>
      <c r="BO12" s="18">
        <v>30</v>
      </c>
      <c r="BP12" s="18">
        <v>31</v>
      </c>
      <c r="BQ12" s="119"/>
      <c r="BR12" s="123"/>
      <c r="BS12" s="123"/>
      <c r="BT12" s="119"/>
      <c r="BU12" s="120"/>
    </row>
    <row r="13" spans="3:73" ht="25.8" x14ac:dyDescent="0.3">
      <c r="C13" s="120"/>
      <c r="D13" s="120"/>
      <c r="E13" s="120"/>
      <c r="F13" s="38">
        <f>WEEKDAY($D$1+F12)</f>
        <v>6</v>
      </c>
      <c r="G13" s="38">
        <f t="shared" ref="G13:AJ13" si="0">WEEKDAY($D$1+G12)</f>
        <v>7</v>
      </c>
      <c r="H13" s="38">
        <f t="shared" si="0"/>
        <v>1</v>
      </c>
      <c r="I13" s="38">
        <f t="shared" si="0"/>
        <v>2</v>
      </c>
      <c r="J13" s="38">
        <f t="shared" si="0"/>
        <v>3</v>
      </c>
      <c r="K13" s="38">
        <f t="shared" si="0"/>
        <v>4</v>
      </c>
      <c r="L13" s="38">
        <f t="shared" si="0"/>
        <v>5</v>
      </c>
      <c r="M13" s="38">
        <f t="shared" si="0"/>
        <v>6</v>
      </c>
      <c r="N13" s="38">
        <f t="shared" si="0"/>
        <v>7</v>
      </c>
      <c r="O13" s="38">
        <f t="shared" si="0"/>
        <v>1</v>
      </c>
      <c r="P13" s="38">
        <f t="shared" si="0"/>
        <v>2</v>
      </c>
      <c r="Q13" s="38">
        <f t="shared" si="0"/>
        <v>3</v>
      </c>
      <c r="R13" s="38">
        <f t="shared" si="0"/>
        <v>4</v>
      </c>
      <c r="S13" s="38">
        <f t="shared" si="0"/>
        <v>5</v>
      </c>
      <c r="T13" s="38">
        <f t="shared" si="0"/>
        <v>6</v>
      </c>
      <c r="U13" s="38">
        <f t="shared" si="0"/>
        <v>7</v>
      </c>
      <c r="V13" s="38">
        <f t="shared" si="0"/>
        <v>1</v>
      </c>
      <c r="W13" s="38">
        <f t="shared" si="0"/>
        <v>2</v>
      </c>
      <c r="X13" s="38">
        <f t="shared" si="0"/>
        <v>3</v>
      </c>
      <c r="Y13" s="38">
        <f t="shared" si="0"/>
        <v>4</v>
      </c>
      <c r="Z13" s="38">
        <f t="shared" si="0"/>
        <v>5</v>
      </c>
      <c r="AA13" s="38">
        <f t="shared" si="0"/>
        <v>6</v>
      </c>
      <c r="AB13" s="38">
        <f t="shared" si="0"/>
        <v>7</v>
      </c>
      <c r="AC13" s="38">
        <f t="shared" si="0"/>
        <v>1</v>
      </c>
      <c r="AD13" s="38">
        <f t="shared" si="0"/>
        <v>2</v>
      </c>
      <c r="AE13" s="38">
        <f t="shared" si="0"/>
        <v>3</v>
      </c>
      <c r="AF13" s="38">
        <f t="shared" si="0"/>
        <v>4</v>
      </c>
      <c r="AG13" s="38">
        <f t="shared" si="0"/>
        <v>5</v>
      </c>
      <c r="AH13" s="38">
        <f t="shared" si="0"/>
        <v>6</v>
      </c>
      <c r="AI13" s="38">
        <f t="shared" si="0"/>
        <v>7</v>
      </c>
      <c r="AJ13" s="38">
        <f t="shared" si="0"/>
        <v>1</v>
      </c>
      <c r="AK13" s="119"/>
      <c r="AL13" s="38">
        <f>WEEKDAY($D$1+AL12)</f>
        <v>6</v>
      </c>
      <c r="AM13" s="38">
        <f t="shared" ref="AM13:BP13" si="1">WEEKDAY($D$1+AM12)</f>
        <v>7</v>
      </c>
      <c r="AN13" s="38">
        <f t="shared" si="1"/>
        <v>1</v>
      </c>
      <c r="AO13" s="38">
        <f t="shared" si="1"/>
        <v>2</v>
      </c>
      <c r="AP13" s="38">
        <f t="shared" si="1"/>
        <v>3</v>
      </c>
      <c r="AQ13" s="38">
        <f t="shared" si="1"/>
        <v>4</v>
      </c>
      <c r="AR13" s="38">
        <f t="shared" si="1"/>
        <v>5</v>
      </c>
      <c r="AS13" s="38">
        <f t="shared" si="1"/>
        <v>6</v>
      </c>
      <c r="AT13" s="38">
        <f t="shared" si="1"/>
        <v>7</v>
      </c>
      <c r="AU13" s="38">
        <f t="shared" si="1"/>
        <v>1</v>
      </c>
      <c r="AV13" s="38">
        <f t="shared" si="1"/>
        <v>2</v>
      </c>
      <c r="AW13" s="38">
        <f t="shared" si="1"/>
        <v>3</v>
      </c>
      <c r="AX13" s="38">
        <f t="shared" si="1"/>
        <v>4</v>
      </c>
      <c r="AY13" s="38">
        <f t="shared" si="1"/>
        <v>5</v>
      </c>
      <c r="AZ13" s="38">
        <f t="shared" si="1"/>
        <v>6</v>
      </c>
      <c r="BA13" s="38">
        <f t="shared" si="1"/>
        <v>7</v>
      </c>
      <c r="BB13" s="38">
        <f t="shared" si="1"/>
        <v>1</v>
      </c>
      <c r="BC13" s="38">
        <f t="shared" si="1"/>
        <v>2</v>
      </c>
      <c r="BD13" s="38">
        <f t="shared" si="1"/>
        <v>3</v>
      </c>
      <c r="BE13" s="38">
        <f t="shared" si="1"/>
        <v>4</v>
      </c>
      <c r="BF13" s="38">
        <f t="shared" si="1"/>
        <v>5</v>
      </c>
      <c r="BG13" s="38">
        <f t="shared" si="1"/>
        <v>6</v>
      </c>
      <c r="BH13" s="38">
        <f t="shared" si="1"/>
        <v>7</v>
      </c>
      <c r="BI13" s="38">
        <f t="shared" si="1"/>
        <v>1</v>
      </c>
      <c r="BJ13" s="38">
        <f t="shared" si="1"/>
        <v>2</v>
      </c>
      <c r="BK13" s="38">
        <f t="shared" si="1"/>
        <v>3</v>
      </c>
      <c r="BL13" s="38">
        <f t="shared" si="1"/>
        <v>4</v>
      </c>
      <c r="BM13" s="38">
        <f t="shared" si="1"/>
        <v>5</v>
      </c>
      <c r="BN13" s="38">
        <f t="shared" si="1"/>
        <v>6</v>
      </c>
      <c r="BO13" s="38">
        <f t="shared" si="1"/>
        <v>7</v>
      </c>
      <c r="BP13" s="38">
        <f t="shared" si="1"/>
        <v>1</v>
      </c>
      <c r="BQ13" s="119"/>
      <c r="BR13" s="124"/>
      <c r="BS13" s="124"/>
      <c r="BT13" s="119"/>
      <c r="BU13" s="120"/>
    </row>
    <row r="14" spans="3:73" x14ac:dyDescent="0.3">
      <c r="C14" s="4">
        <v>1</v>
      </c>
      <c r="D14" s="5" t="str">
        <f>IF(VLOOKUP(C14,DSNV!$C$8:$N$48,3,FALSE)=0,"",VLOOKUP(C14,DSNV!$C$8:$N$48,3,FALSE))</f>
        <v>Nguyễn Võ Như Bình</v>
      </c>
      <c r="E14" s="4" t="str">
        <f>IF(VLOOKUP(C14,DSNV!$C$8:$N$48,8,FALSE)="","",VLOOKUP(C14,DSNV!$C$8:$N$48,8,FALSE))</f>
        <v>Thành viên</v>
      </c>
      <c r="F14" s="4"/>
      <c r="G14" s="4"/>
      <c r="H14" s="4"/>
      <c r="I14" s="4"/>
      <c r="J14" s="4">
        <v>2</v>
      </c>
      <c r="K14" s="4">
        <v>2</v>
      </c>
      <c r="L14" s="4"/>
      <c r="M14" s="4"/>
      <c r="N14" s="4"/>
      <c r="O14" s="4"/>
      <c r="P14" s="4"/>
      <c r="Q14" s="4"/>
      <c r="R14" s="4"/>
      <c r="S14" s="4"/>
      <c r="T14" s="4">
        <v>2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>
        <f>SUM(F14:AJ14)</f>
        <v>6</v>
      </c>
      <c r="AL14" s="4"/>
      <c r="AM14" s="4"/>
      <c r="AN14" s="4"/>
      <c r="AO14" s="4">
        <v>1</v>
      </c>
      <c r="AP14" s="4">
        <v>2</v>
      </c>
      <c r="AQ14" s="4"/>
      <c r="AR14" s="4"/>
      <c r="AS14" s="4"/>
      <c r="AT14" s="4"/>
      <c r="AU14" s="4"/>
      <c r="AV14" s="4"/>
      <c r="AW14" s="4"/>
      <c r="AX14" s="4">
        <v>2</v>
      </c>
      <c r="AY14" s="4"/>
      <c r="AZ14" s="4"/>
      <c r="BA14" s="4"/>
      <c r="BB14" s="4"/>
      <c r="BC14" s="4"/>
      <c r="BD14" s="4"/>
      <c r="BE14" s="4"/>
      <c r="BF14" s="4">
        <v>2</v>
      </c>
      <c r="BG14" s="4">
        <v>2</v>
      </c>
      <c r="BH14" s="4"/>
      <c r="BI14" s="4"/>
      <c r="BJ14" s="4"/>
      <c r="BK14" s="4"/>
      <c r="BL14" s="4">
        <v>2</v>
      </c>
      <c r="BM14" s="4">
        <v>2</v>
      </c>
      <c r="BN14" s="4"/>
      <c r="BO14" s="4"/>
      <c r="BP14" s="4"/>
      <c r="BQ14" s="4">
        <f>SUM(AL14:BP14)</f>
        <v>13</v>
      </c>
      <c r="BR14" s="4"/>
      <c r="BS14" s="4"/>
      <c r="BT14" s="45">
        <f>SUM(AK14,BQ14:BS14)</f>
        <v>19</v>
      </c>
      <c r="BU14" s="5"/>
    </row>
    <row r="15" spans="3:73" x14ac:dyDescent="0.3">
      <c r="C15" s="6">
        <v>2</v>
      </c>
      <c r="D15" s="5" t="str">
        <f>IF(VLOOKUP(C15,DSNV!$C$8:$N$48,3,FALSE)=0,"",VLOOKUP(C15,DSNV!$C$8:$N$48,3,FALSE))</f>
        <v>Võ Khánh Đoan</v>
      </c>
      <c r="E15" s="4" t="str">
        <f>IF(VLOOKUP(C15,DSNV!$C$8:$N$48,8,FALSE)="","",VLOOKUP(C15,DSNV!$C$8:$N$48,8,FALSE))</f>
        <v>Thành viên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4">
        <f t="shared" ref="AK15:AK53" si="2">SUM(F15:AJ15)</f>
        <v>0</v>
      </c>
      <c r="AL15" s="6"/>
      <c r="AM15" s="6"/>
      <c r="AN15" s="6"/>
      <c r="AO15" s="6">
        <v>1</v>
      </c>
      <c r="AP15" s="6">
        <v>1</v>
      </c>
      <c r="AQ15" s="6">
        <v>4</v>
      </c>
      <c r="AR15" s="6"/>
      <c r="AS15" s="6"/>
      <c r="AT15" s="6"/>
      <c r="AU15" s="6"/>
      <c r="AV15" s="6"/>
      <c r="AW15" s="6">
        <v>2</v>
      </c>
      <c r="AX15" s="6"/>
      <c r="AY15" s="6"/>
      <c r="AZ15" s="6"/>
      <c r="BA15" s="6"/>
      <c r="BB15" s="6"/>
      <c r="BC15" s="6">
        <v>2</v>
      </c>
      <c r="BD15" s="6"/>
      <c r="BE15" s="6"/>
      <c r="BF15" s="6"/>
      <c r="BG15" s="6">
        <v>2</v>
      </c>
      <c r="BH15" s="6"/>
      <c r="BI15" s="6"/>
      <c r="BJ15" s="6"/>
      <c r="BK15" s="6">
        <v>2</v>
      </c>
      <c r="BL15" s="6"/>
      <c r="BM15" s="6"/>
      <c r="BN15" s="6">
        <v>2</v>
      </c>
      <c r="BO15" s="6"/>
      <c r="BP15" s="6"/>
      <c r="BQ15" s="4">
        <f t="shared" ref="BQ15:BQ53" si="3">SUM(AL15:BP15)</f>
        <v>16</v>
      </c>
      <c r="BR15" s="4"/>
      <c r="BS15" s="4"/>
      <c r="BT15" s="45">
        <f t="shared" ref="BT15:BT53" si="4">SUM(AK15,BQ15:BS15)</f>
        <v>16</v>
      </c>
      <c r="BU15" s="7"/>
    </row>
    <row r="16" spans="3:73" x14ac:dyDescent="0.3">
      <c r="C16" s="6">
        <v>3</v>
      </c>
      <c r="D16" s="5" t="str">
        <f>IF(VLOOKUP(C16,DSNV!$C$8:$N$48,3,FALSE)=0,"",VLOOKUP(C16,DSNV!$C$8:$N$48,3,FALSE))</f>
        <v>Nguyễn Thu Hà</v>
      </c>
      <c r="E16" s="4" t="str">
        <f>IF(VLOOKUP(C16,DSNV!$C$8:$N$48,8,FALSE)="","",VLOOKUP(C16,DSNV!$C$8:$N$48,8,FALSE))</f>
        <v>Thành viên</v>
      </c>
      <c r="F16" s="6"/>
      <c r="G16" s="6"/>
      <c r="H16" s="6"/>
      <c r="I16" s="6"/>
      <c r="J16" s="6"/>
      <c r="K16" s="6">
        <v>2</v>
      </c>
      <c r="L16" s="6"/>
      <c r="M16" s="6"/>
      <c r="N16" s="6"/>
      <c r="O16" s="6"/>
      <c r="P16" s="6"/>
      <c r="Q16" s="6"/>
      <c r="R16" s="6"/>
      <c r="S16" s="6"/>
      <c r="T16" s="6">
        <v>2</v>
      </c>
      <c r="U16" s="6"/>
      <c r="V16" s="6"/>
      <c r="W16" s="6">
        <v>2</v>
      </c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4">
        <f t="shared" si="2"/>
        <v>6</v>
      </c>
      <c r="AL16" s="6"/>
      <c r="AM16" s="6"/>
      <c r="AN16" s="6"/>
      <c r="AO16" s="6"/>
      <c r="AP16" s="6"/>
      <c r="AQ16" s="6"/>
      <c r="AR16" s="6"/>
      <c r="AS16" s="6">
        <v>3</v>
      </c>
      <c r="AT16" s="6"/>
      <c r="AU16" s="6"/>
      <c r="AV16" s="6"/>
      <c r="AW16" s="6"/>
      <c r="AX16" s="6"/>
      <c r="AY16" s="6">
        <v>2</v>
      </c>
      <c r="AZ16" s="6"/>
      <c r="BA16" s="6"/>
      <c r="BB16" s="6"/>
      <c r="BC16" s="6"/>
      <c r="BD16" s="6"/>
      <c r="BE16" s="6"/>
      <c r="BF16" s="6">
        <v>1</v>
      </c>
      <c r="BG16" s="6"/>
      <c r="BH16" s="6"/>
      <c r="BI16" s="6"/>
      <c r="BJ16" s="6">
        <v>2</v>
      </c>
      <c r="BK16" s="6"/>
      <c r="BL16" s="6"/>
      <c r="BM16" s="6"/>
      <c r="BN16" s="6">
        <v>2</v>
      </c>
      <c r="BO16" s="6"/>
      <c r="BP16" s="6"/>
      <c r="BQ16" s="4">
        <f t="shared" si="3"/>
        <v>10</v>
      </c>
      <c r="BR16" s="4"/>
      <c r="BS16" s="4"/>
      <c r="BT16" s="45">
        <f t="shared" si="4"/>
        <v>16</v>
      </c>
      <c r="BU16" s="7"/>
    </row>
    <row r="17" spans="3:73" x14ac:dyDescent="0.3">
      <c r="C17" s="6">
        <v>4</v>
      </c>
      <c r="D17" s="5" t="str">
        <f>IF(VLOOKUP(C17,DSNV!$C$8:$N$48,3,FALSE)=0,"",VLOOKUP(C17,DSNV!$C$8:$N$48,3,FALSE))</f>
        <v>Trương Thị Phú Hiệp</v>
      </c>
      <c r="E17" s="4" t="str">
        <f>IF(VLOOKUP(C17,DSNV!$C$8:$N$48,8,FALSE)="","",VLOOKUP(C17,DSNV!$C$8:$N$48,8,FALSE))</f>
        <v>Thành viên</v>
      </c>
      <c r="F17" s="6"/>
      <c r="G17" s="6"/>
      <c r="H17" s="6"/>
      <c r="I17" s="6">
        <v>2</v>
      </c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>
        <v>3</v>
      </c>
      <c r="AA17" s="6"/>
      <c r="AB17" s="6"/>
      <c r="AC17" s="6"/>
      <c r="AD17" s="6"/>
      <c r="AE17" s="6">
        <v>1</v>
      </c>
      <c r="AF17" s="6"/>
      <c r="AG17" s="6">
        <v>2</v>
      </c>
      <c r="AH17" s="6"/>
      <c r="AI17" s="6"/>
      <c r="AJ17" s="6"/>
      <c r="AK17" s="4">
        <f t="shared" si="2"/>
        <v>8</v>
      </c>
      <c r="AL17" s="6"/>
      <c r="AM17" s="6"/>
      <c r="AN17" s="6"/>
      <c r="AO17" s="6">
        <v>1</v>
      </c>
      <c r="AP17" s="6">
        <v>2</v>
      </c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>
        <v>2</v>
      </c>
      <c r="BD17" s="6"/>
      <c r="BE17" s="6"/>
      <c r="BF17" s="6"/>
      <c r="BG17" s="6"/>
      <c r="BH17" s="6"/>
      <c r="BI17" s="6"/>
      <c r="BJ17" s="6"/>
      <c r="BK17" s="6"/>
      <c r="BL17" s="6">
        <v>2</v>
      </c>
      <c r="BM17" s="6"/>
      <c r="BN17" s="6"/>
      <c r="BO17" s="6"/>
      <c r="BP17" s="6"/>
      <c r="BQ17" s="4">
        <f t="shared" si="3"/>
        <v>7</v>
      </c>
      <c r="BR17" s="4"/>
      <c r="BS17" s="4"/>
      <c r="BT17" s="45">
        <f t="shared" si="4"/>
        <v>15</v>
      </c>
      <c r="BU17" s="7"/>
    </row>
    <row r="18" spans="3:73" x14ac:dyDescent="0.3">
      <c r="C18" s="6">
        <v>5</v>
      </c>
      <c r="D18" s="5" t="str">
        <f>IF(VLOOKUP(C18,DSNV!$C$8:$N$48,3,FALSE)=0,"",VLOOKUP(C18,DSNV!$C$8:$N$48,3,FALSE))</f>
        <v>Nguyễn Thị Bích Hồng</v>
      </c>
      <c r="E18" s="4" t="str">
        <f>IF(VLOOKUP(C18,DSNV!$C$8:$N$48,8,FALSE)="","",VLOOKUP(C18,DSNV!$C$8:$N$48,8,FALSE))</f>
        <v>Thành viên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>
        <v>2</v>
      </c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>
        <v>2</v>
      </c>
      <c r="AE18" s="6"/>
      <c r="AF18" s="6"/>
      <c r="AG18" s="6"/>
      <c r="AH18" s="6"/>
      <c r="AI18" s="6"/>
      <c r="AJ18" s="6"/>
      <c r="AK18" s="4">
        <f t="shared" si="2"/>
        <v>4</v>
      </c>
      <c r="AL18" s="6"/>
      <c r="AM18" s="6"/>
      <c r="AN18" s="6"/>
      <c r="AO18" s="6"/>
      <c r="AP18" s="6"/>
      <c r="AQ18" s="6">
        <v>2</v>
      </c>
      <c r="AR18" s="6"/>
      <c r="AS18" s="6">
        <v>2</v>
      </c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>
        <v>2</v>
      </c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4">
        <f t="shared" si="3"/>
        <v>6</v>
      </c>
      <c r="BR18" s="4"/>
      <c r="BS18" s="4"/>
      <c r="BT18" s="45">
        <f t="shared" si="4"/>
        <v>10</v>
      </c>
      <c r="BU18" s="7"/>
    </row>
    <row r="19" spans="3:73" x14ac:dyDescent="0.3">
      <c r="C19" s="6">
        <v>6</v>
      </c>
      <c r="D19" s="5" t="str">
        <f>IF(VLOOKUP(C19,DSNV!$C$8:$N$48,3,FALSE)=0,"",VLOOKUP(C19,DSNV!$C$8:$N$48,3,FALSE))</f>
        <v>Phạm Thị Ngọc Hồng</v>
      </c>
      <c r="E19" s="4" t="str">
        <f>IF(VLOOKUP(C19,DSNV!$C$8:$N$48,8,FALSE)="","",VLOOKUP(C19,DSNV!$C$8:$N$48,8,FALSE))</f>
        <v>Thành viên</v>
      </c>
      <c r="F19" s="6"/>
      <c r="G19" s="6"/>
      <c r="H19" s="6"/>
      <c r="I19" s="6"/>
      <c r="J19" s="6"/>
      <c r="K19" s="6"/>
      <c r="L19" s="6"/>
      <c r="M19" s="6">
        <v>2</v>
      </c>
      <c r="N19" s="6"/>
      <c r="O19" s="6"/>
      <c r="P19" s="6">
        <v>2</v>
      </c>
      <c r="Q19" s="6"/>
      <c r="R19" s="6"/>
      <c r="S19" s="6"/>
      <c r="T19" s="6"/>
      <c r="U19" s="6"/>
      <c r="V19" s="6"/>
      <c r="W19" s="6"/>
      <c r="X19" s="6"/>
      <c r="Y19" s="6"/>
      <c r="Z19" s="6">
        <v>1</v>
      </c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4">
        <f t="shared" si="2"/>
        <v>5</v>
      </c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>
        <v>2</v>
      </c>
      <c r="AW19" s="6"/>
      <c r="AX19" s="6"/>
      <c r="AY19" s="6"/>
      <c r="AZ19" s="6"/>
      <c r="BA19" s="6"/>
      <c r="BB19" s="6"/>
      <c r="BC19" s="6"/>
      <c r="BD19" s="6"/>
      <c r="BE19" s="6">
        <v>2</v>
      </c>
      <c r="BF19" s="6"/>
      <c r="BG19" s="6"/>
      <c r="BH19" s="6"/>
      <c r="BI19" s="6"/>
      <c r="BJ19" s="6"/>
      <c r="BK19" s="6"/>
      <c r="BL19" s="6"/>
      <c r="BM19" s="6">
        <v>2</v>
      </c>
      <c r="BN19" s="6"/>
      <c r="BO19" s="6"/>
      <c r="BP19" s="6"/>
      <c r="BQ19" s="4">
        <f t="shared" si="3"/>
        <v>6</v>
      </c>
      <c r="BR19" s="4">
        <f>BQ19/2</f>
        <v>3</v>
      </c>
      <c r="BS19" s="4"/>
      <c r="BT19" s="45">
        <f t="shared" si="4"/>
        <v>14</v>
      </c>
      <c r="BU19" s="7"/>
    </row>
    <row r="20" spans="3:73" x14ac:dyDescent="0.3">
      <c r="C20" s="6">
        <v>7</v>
      </c>
      <c r="D20" s="5" t="str">
        <f>IF(VLOOKUP(C20,DSNV!$C$8:$N$48,3,FALSE)=0,"",VLOOKUP(C20,DSNV!$C$8:$N$48,3,FALSE))</f>
        <v>Phạm Thị Huệ</v>
      </c>
      <c r="E20" s="4" t="str">
        <f>IF(VLOOKUP(C20,DSNV!$C$8:$N$48,8,FALSE)="","",VLOOKUP(C20,DSNV!$C$8:$N$48,8,FALSE))</f>
        <v>Trưởng ban</v>
      </c>
      <c r="F20" s="6"/>
      <c r="G20" s="6"/>
      <c r="H20" s="6"/>
      <c r="I20" s="6">
        <v>1</v>
      </c>
      <c r="J20" s="6"/>
      <c r="K20" s="6"/>
      <c r="L20" s="6"/>
      <c r="M20" s="6">
        <v>2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>
        <v>2</v>
      </c>
      <c r="Y20" s="6"/>
      <c r="Z20" s="6"/>
      <c r="AA20" s="6"/>
      <c r="AB20" s="6"/>
      <c r="AC20" s="6"/>
      <c r="AD20" s="6"/>
      <c r="AE20" s="6"/>
      <c r="AF20" s="6"/>
      <c r="AG20" s="6"/>
      <c r="AH20" s="6">
        <v>1</v>
      </c>
      <c r="AI20" s="6"/>
      <c r="AJ20" s="6"/>
      <c r="AK20" s="4">
        <f t="shared" si="2"/>
        <v>6</v>
      </c>
      <c r="AL20" s="6"/>
      <c r="AM20" s="6"/>
      <c r="AN20" s="6"/>
      <c r="AO20" s="6"/>
      <c r="AP20" s="6">
        <v>1</v>
      </c>
      <c r="AQ20" s="6"/>
      <c r="AR20" s="6"/>
      <c r="AS20" s="6"/>
      <c r="AT20" s="6"/>
      <c r="AU20" s="6">
        <v>1</v>
      </c>
      <c r="AV20" s="6">
        <v>2</v>
      </c>
      <c r="AW20" s="6"/>
      <c r="AX20" s="6"/>
      <c r="AY20" s="6"/>
      <c r="AZ20" s="6">
        <v>2</v>
      </c>
      <c r="BA20" s="6"/>
      <c r="BB20" s="6"/>
      <c r="BC20" s="6"/>
      <c r="BD20" s="6"/>
      <c r="BE20" s="6"/>
      <c r="BF20" s="6"/>
      <c r="BG20" s="6"/>
      <c r="BH20" s="6"/>
      <c r="BI20" s="6"/>
      <c r="BJ20" s="6">
        <v>2</v>
      </c>
      <c r="BK20" s="6"/>
      <c r="BL20" s="6"/>
      <c r="BM20" s="6"/>
      <c r="BN20" s="6"/>
      <c r="BO20" s="6"/>
      <c r="BP20" s="6"/>
      <c r="BQ20" s="4">
        <f t="shared" si="3"/>
        <v>8</v>
      </c>
      <c r="BR20" s="4">
        <f t="shared" ref="BR20:BR21" si="5">BQ20/2</f>
        <v>4</v>
      </c>
      <c r="BS20" s="4">
        <v>5</v>
      </c>
      <c r="BT20" s="45">
        <f t="shared" si="4"/>
        <v>23</v>
      </c>
      <c r="BU20" s="7" t="s">
        <v>166</v>
      </c>
    </row>
    <row r="21" spans="3:73" x14ac:dyDescent="0.3">
      <c r="C21" s="6">
        <v>8</v>
      </c>
      <c r="D21" s="5" t="str">
        <f>IF(VLOOKUP(C21,DSNV!$C$8:$N$48,3,FALSE)=0,"",VLOOKUP(C21,DSNV!$C$8:$N$48,3,FALSE))</f>
        <v>Nguyễn Thị Quỳnh Hương</v>
      </c>
      <c r="E21" s="4" t="str">
        <f>IF(VLOOKUP(C21,DSNV!$C$8:$N$48,8,FALSE)="","",VLOOKUP(C21,DSNV!$C$8:$N$48,8,FALSE))</f>
        <v>Trưởng ban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>
        <v>2</v>
      </c>
      <c r="AB21" s="6"/>
      <c r="AC21" s="6"/>
      <c r="AD21" s="6"/>
      <c r="AE21" s="6"/>
      <c r="AF21" s="6"/>
      <c r="AG21" s="6"/>
      <c r="AH21" s="6">
        <v>1</v>
      </c>
      <c r="AI21" s="6"/>
      <c r="AJ21" s="6"/>
      <c r="AK21" s="4">
        <f t="shared" si="2"/>
        <v>3</v>
      </c>
      <c r="AL21" s="6"/>
      <c r="AM21" s="6"/>
      <c r="AN21" s="6"/>
      <c r="AO21" s="6"/>
      <c r="AP21" s="6"/>
      <c r="AQ21" s="6"/>
      <c r="AR21" s="6">
        <v>1</v>
      </c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>
        <v>2</v>
      </c>
      <c r="BF21" s="6"/>
      <c r="BG21" s="6"/>
      <c r="BH21" s="6"/>
      <c r="BI21" s="6"/>
      <c r="BJ21" s="6"/>
      <c r="BK21" s="6"/>
      <c r="BL21" s="6"/>
      <c r="BM21" s="6"/>
      <c r="BN21" s="6">
        <v>2</v>
      </c>
      <c r="BO21" s="6"/>
      <c r="BP21" s="6"/>
      <c r="BQ21" s="4">
        <f t="shared" si="3"/>
        <v>5</v>
      </c>
      <c r="BR21" s="4">
        <f t="shared" si="5"/>
        <v>2.5</v>
      </c>
      <c r="BS21" s="4"/>
      <c r="BT21" s="45">
        <f t="shared" si="4"/>
        <v>10.5</v>
      </c>
      <c r="BU21" s="7"/>
    </row>
    <row r="22" spans="3:73" x14ac:dyDescent="0.3">
      <c r="C22" s="6">
        <v>9</v>
      </c>
      <c r="D22" s="5" t="str">
        <f>IF(VLOOKUP(C22,DSNV!$C$8:$N$48,3,FALSE)=0,"",VLOOKUP(C22,DSNV!$C$8:$N$48,3,FALSE))</f>
        <v>Huỳnh Thanh Huyên</v>
      </c>
      <c r="E22" s="4" t="str">
        <f>IF(VLOOKUP(C22,DSNV!$C$8:$N$48,8,FALSE)="","",VLOOKUP(C22,DSNV!$C$8:$N$48,8,FALSE))</f>
        <v>Thành viên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>
        <v>2</v>
      </c>
      <c r="T22" s="6"/>
      <c r="U22" s="6"/>
      <c r="V22" s="6"/>
      <c r="W22" s="6"/>
      <c r="X22" s="6">
        <v>2</v>
      </c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4">
        <f t="shared" si="2"/>
        <v>4</v>
      </c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>
        <v>2</v>
      </c>
      <c r="BA22" s="6"/>
      <c r="BB22" s="6"/>
      <c r="BC22" s="6"/>
      <c r="BD22" s="6"/>
      <c r="BE22" s="6">
        <v>2</v>
      </c>
      <c r="BF22" s="6"/>
      <c r="BG22" s="6"/>
      <c r="BH22" s="6"/>
      <c r="BI22" s="6"/>
      <c r="BJ22" s="6"/>
      <c r="BK22" s="6">
        <v>2</v>
      </c>
      <c r="BL22" s="6"/>
      <c r="BM22" s="6"/>
      <c r="BN22" s="6"/>
      <c r="BO22" s="6"/>
      <c r="BP22" s="6"/>
      <c r="BQ22" s="4">
        <f t="shared" si="3"/>
        <v>6</v>
      </c>
      <c r="BR22" s="4"/>
      <c r="BS22" s="4"/>
      <c r="BT22" s="45">
        <f t="shared" si="4"/>
        <v>10</v>
      </c>
      <c r="BU22" s="7"/>
    </row>
    <row r="23" spans="3:73" x14ac:dyDescent="0.3">
      <c r="C23" s="6">
        <v>10</v>
      </c>
      <c r="D23" s="5" t="str">
        <f>IF(VLOOKUP(C23,DSNV!$C$8:$N$48,3,FALSE)=0,"",VLOOKUP(C23,DSNV!$C$8:$N$48,3,FALSE))</f>
        <v>Lê Hữu Di Mi</v>
      </c>
      <c r="E23" s="4" t="str">
        <f>IF(VLOOKUP(C23,DSNV!$C$8:$N$48,8,FALSE)="","",VLOOKUP(C23,DSNV!$C$8:$N$48,8,FALSE))</f>
        <v>Thành viên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>
        <v>2</v>
      </c>
      <c r="S23" s="6"/>
      <c r="T23" s="6"/>
      <c r="U23" s="6"/>
      <c r="V23" s="6"/>
      <c r="W23" s="6">
        <v>2</v>
      </c>
      <c r="X23" s="6"/>
      <c r="Y23" s="6"/>
      <c r="Z23" s="6"/>
      <c r="AA23" s="6"/>
      <c r="AB23" s="6"/>
      <c r="AC23" s="6"/>
      <c r="AD23" s="6">
        <v>1</v>
      </c>
      <c r="AE23" s="6"/>
      <c r="AF23" s="6">
        <v>1</v>
      </c>
      <c r="AG23" s="6"/>
      <c r="AH23" s="6"/>
      <c r="AI23" s="6"/>
      <c r="AJ23" s="6"/>
      <c r="AK23" s="4">
        <f t="shared" si="2"/>
        <v>6</v>
      </c>
      <c r="AL23" s="6"/>
      <c r="AM23" s="6"/>
      <c r="AN23" s="6"/>
      <c r="AO23" s="6"/>
      <c r="AP23" s="6"/>
      <c r="AQ23" s="6"/>
      <c r="AR23" s="6"/>
      <c r="AS23" s="6"/>
      <c r="AT23" s="6">
        <v>2</v>
      </c>
      <c r="AU23" s="6">
        <v>1</v>
      </c>
      <c r="AV23" s="6"/>
      <c r="AW23" s="6"/>
      <c r="AX23" s="6">
        <v>2</v>
      </c>
      <c r="AY23" s="6"/>
      <c r="AZ23" s="6">
        <v>2</v>
      </c>
      <c r="BA23" s="6"/>
      <c r="BB23" s="6"/>
      <c r="BC23" s="6"/>
      <c r="BD23" s="6">
        <v>2</v>
      </c>
      <c r="BE23" s="6"/>
      <c r="BF23" s="6"/>
      <c r="BG23" s="6"/>
      <c r="BH23" s="6"/>
      <c r="BI23" s="6"/>
      <c r="BJ23" s="6"/>
      <c r="BK23" s="6">
        <v>2</v>
      </c>
      <c r="BL23" s="6"/>
      <c r="BM23" s="6"/>
      <c r="BN23" s="6"/>
      <c r="BO23" s="6"/>
      <c r="BP23" s="6"/>
      <c r="BQ23" s="4">
        <f t="shared" si="3"/>
        <v>11</v>
      </c>
      <c r="BR23" s="4"/>
      <c r="BS23" s="4"/>
      <c r="BT23" s="45">
        <f t="shared" si="4"/>
        <v>17</v>
      </c>
      <c r="BU23" s="7"/>
    </row>
    <row r="24" spans="3:73" x14ac:dyDescent="0.3">
      <c r="C24" s="6">
        <v>11</v>
      </c>
      <c r="D24" s="5" t="str">
        <f>IF(VLOOKUP(C24,DSNV!$C$8:$N$48,3,FALSE)=0,"",VLOOKUP(C24,DSNV!$C$8:$N$48,3,FALSE))</f>
        <v>Nguyễn Nhựt Minh</v>
      </c>
      <c r="E24" s="4" t="str">
        <f>IF(VLOOKUP(C24,DSNV!$C$8:$N$48,8,FALSE)="","",VLOOKUP(C24,DSNV!$C$8:$N$48,8,FALSE))</f>
        <v>Trưởng ban</v>
      </c>
      <c r="F24" s="6"/>
      <c r="G24" s="6"/>
      <c r="H24" s="6"/>
      <c r="I24" s="6"/>
      <c r="J24" s="6">
        <v>2</v>
      </c>
      <c r="K24" s="6"/>
      <c r="L24" s="6"/>
      <c r="M24" s="6"/>
      <c r="N24" s="6"/>
      <c r="O24" s="6"/>
      <c r="P24" s="6"/>
      <c r="Q24" s="6">
        <v>2</v>
      </c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>
        <v>1</v>
      </c>
      <c r="AF24" s="6">
        <v>1</v>
      </c>
      <c r="AG24" s="6"/>
      <c r="AH24" s="6">
        <v>1</v>
      </c>
      <c r="AI24" s="6"/>
      <c r="AJ24" s="6"/>
      <c r="AK24" s="4">
        <f t="shared" si="2"/>
        <v>7</v>
      </c>
      <c r="AL24" s="6"/>
      <c r="AM24" s="6"/>
      <c r="AN24" s="6"/>
      <c r="AO24" s="6"/>
      <c r="AP24" s="6"/>
      <c r="AQ24" s="6"/>
      <c r="AR24" s="6">
        <v>2</v>
      </c>
      <c r="AS24" s="6">
        <v>2</v>
      </c>
      <c r="AT24" s="6"/>
      <c r="AU24" s="6">
        <v>1</v>
      </c>
      <c r="AV24" s="6"/>
      <c r="AW24" s="6">
        <v>2</v>
      </c>
      <c r="AX24" s="6"/>
      <c r="AY24" s="6">
        <v>2</v>
      </c>
      <c r="AZ24" s="6"/>
      <c r="BA24" s="6"/>
      <c r="BB24" s="6"/>
      <c r="BC24" s="6"/>
      <c r="BD24" s="6">
        <v>1</v>
      </c>
      <c r="BE24" s="6"/>
      <c r="BF24" s="6">
        <v>2</v>
      </c>
      <c r="BG24" s="6"/>
      <c r="BH24" s="6"/>
      <c r="BI24" s="6"/>
      <c r="BJ24" s="6"/>
      <c r="BK24" s="6"/>
      <c r="BL24" s="6"/>
      <c r="BM24" s="6">
        <v>2</v>
      </c>
      <c r="BN24" s="6"/>
      <c r="BO24" s="6"/>
      <c r="BP24" s="6"/>
      <c r="BQ24" s="4">
        <f t="shared" si="3"/>
        <v>14</v>
      </c>
      <c r="BR24" s="4">
        <f>BQ24/2</f>
        <v>7</v>
      </c>
      <c r="BS24" s="4"/>
      <c r="BT24" s="45">
        <f t="shared" si="4"/>
        <v>28</v>
      </c>
      <c r="BU24" s="7"/>
    </row>
    <row r="25" spans="3:73" x14ac:dyDescent="0.3">
      <c r="C25" s="6">
        <v>12</v>
      </c>
      <c r="D25" s="5" t="str">
        <f>IF(VLOOKUP(C25,DSNV!$C$8:$N$48,3,FALSE)=0,"",VLOOKUP(C25,DSNV!$C$8:$N$48,3,FALSE))</f>
        <v>Lê Thảo Nguyên</v>
      </c>
      <c r="E25" s="4" t="str">
        <f>IF(VLOOKUP(C25,DSNV!$C$8:$N$48,8,FALSE)="","",VLOOKUP(C25,DSNV!$C$8:$N$48,8,FALSE))</f>
        <v>Thành viên</v>
      </c>
      <c r="F25" s="6"/>
      <c r="G25" s="6"/>
      <c r="H25" s="6"/>
      <c r="I25" s="6">
        <v>1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>
        <v>2</v>
      </c>
      <c r="AB25" s="6"/>
      <c r="AC25" s="6"/>
      <c r="AD25" s="6">
        <v>1</v>
      </c>
      <c r="AE25" s="6"/>
      <c r="AF25" s="6"/>
      <c r="AG25" s="6"/>
      <c r="AH25" s="6"/>
      <c r="AI25" s="6"/>
      <c r="AJ25" s="6"/>
      <c r="AK25" s="4">
        <f t="shared" si="2"/>
        <v>4</v>
      </c>
      <c r="AL25" s="6"/>
      <c r="AM25" s="6"/>
      <c r="AN25" s="6"/>
      <c r="AO25" s="6">
        <v>1</v>
      </c>
      <c r="AP25" s="6"/>
      <c r="AQ25" s="6"/>
      <c r="AR25" s="6"/>
      <c r="AS25" s="6"/>
      <c r="AT25" s="6">
        <v>2</v>
      </c>
      <c r="AU25" s="6">
        <v>3</v>
      </c>
      <c r="AV25" s="6"/>
      <c r="AW25" s="6"/>
      <c r="AX25" s="6">
        <v>2</v>
      </c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>
        <v>2</v>
      </c>
      <c r="BO25" s="6"/>
      <c r="BP25" s="6"/>
      <c r="BQ25" s="4">
        <f t="shared" si="3"/>
        <v>10</v>
      </c>
      <c r="BR25" s="4">
        <f>BQ25/2</f>
        <v>5</v>
      </c>
      <c r="BS25" s="4"/>
      <c r="BT25" s="45">
        <f t="shared" si="4"/>
        <v>19</v>
      </c>
      <c r="BU25" s="7"/>
    </row>
    <row r="26" spans="3:73" x14ac:dyDescent="0.3">
      <c r="C26" s="6">
        <v>13</v>
      </c>
      <c r="D26" s="5" t="str">
        <f>IF(VLOOKUP(C26,DSNV!$C$8:$N$48,3,FALSE)=0,"",VLOOKUP(C26,DSNV!$C$8:$N$48,3,FALSE))</f>
        <v>Võ Thị Xuân Nữ</v>
      </c>
      <c r="E26" s="4" t="str">
        <f>IF(VLOOKUP(C26,DSNV!$C$8:$N$48,8,FALSE)="","",VLOOKUP(C26,DSNV!$C$8:$N$48,8,FALSE))</f>
        <v>Thành viên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>
        <v>1</v>
      </c>
      <c r="AI26" s="6"/>
      <c r="AJ26" s="6"/>
      <c r="AK26" s="4">
        <f t="shared" si="2"/>
        <v>1</v>
      </c>
      <c r="AL26" s="6"/>
      <c r="AM26" s="6"/>
      <c r="AN26" s="6"/>
      <c r="AO26" s="6"/>
      <c r="AP26" s="6"/>
      <c r="AQ26" s="6"/>
      <c r="AR26" s="6"/>
      <c r="AS26" s="6"/>
      <c r="AT26" s="6">
        <v>2</v>
      </c>
      <c r="AU26" s="6"/>
      <c r="AV26" s="6"/>
      <c r="AW26" s="6"/>
      <c r="AX26" s="6"/>
      <c r="AY26" s="6"/>
      <c r="AZ26" s="6">
        <v>2</v>
      </c>
      <c r="BA26" s="6"/>
      <c r="BB26" s="6"/>
      <c r="BC26" s="6"/>
      <c r="BD26" s="6"/>
      <c r="BE26" s="6"/>
      <c r="BF26" s="6">
        <v>1</v>
      </c>
      <c r="BG26" s="6">
        <v>2</v>
      </c>
      <c r="BH26" s="6"/>
      <c r="BI26" s="6"/>
      <c r="BJ26" s="6"/>
      <c r="BK26" s="6"/>
      <c r="BL26" s="6"/>
      <c r="BM26" s="6">
        <v>2</v>
      </c>
      <c r="BN26" s="6"/>
      <c r="BO26" s="6"/>
      <c r="BP26" s="6"/>
      <c r="BQ26" s="4">
        <f t="shared" si="3"/>
        <v>9</v>
      </c>
      <c r="BR26" s="4"/>
      <c r="BS26" s="4"/>
      <c r="BT26" s="45">
        <f t="shared" si="4"/>
        <v>10</v>
      </c>
      <c r="BU26" s="7"/>
    </row>
    <row r="27" spans="3:73" x14ac:dyDescent="0.3">
      <c r="C27" s="6">
        <v>14</v>
      </c>
      <c r="D27" s="5" t="str">
        <f>IF(VLOOKUP(C27,DSNV!$C$8:$N$48,3,FALSE)=0,"",VLOOKUP(C27,DSNV!$C$8:$N$48,3,FALSE))</f>
        <v>Đỗ Thị Lan Phương</v>
      </c>
      <c r="E27" s="4" t="str">
        <f>IF(VLOOKUP(C27,DSNV!$C$8:$N$48,8,FALSE)="","",VLOOKUP(C27,DSNV!$C$8:$N$48,8,FALSE))</f>
        <v>Thành viên</v>
      </c>
      <c r="F27" s="6"/>
      <c r="G27" s="6"/>
      <c r="H27" s="6"/>
      <c r="I27" s="6"/>
      <c r="J27" s="6"/>
      <c r="K27" s="6"/>
      <c r="L27" s="6">
        <v>2</v>
      </c>
      <c r="M27" s="6"/>
      <c r="N27" s="6"/>
      <c r="O27" s="6"/>
      <c r="P27" s="6"/>
      <c r="Q27" s="6"/>
      <c r="R27" s="6"/>
      <c r="S27" s="6">
        <v>2</v>
      </c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4">
        <f t="shared" si="2"/>
        <v>4</v>
      </c>
      <c r="AL27" s="6"/>
      <c r="AM27" s="6"/>
      <c r="AN27" s="6"/>
      <c r="AO27" s="6"/>
      <c r="AP27" s="6"/>
      <c r="AQ27" s="6"/>
      <c r="AR27" s="6"/>
      <c r="AS27" s="6">
        <v>1</v>
      </c>
      <c r="AT27" s="6">
        <v>2</v>
      </c>
      <c r="AU27" s="6"/>
      <c r="AV27" s="6"/>
      <c r="AW27" s="6">
        <v>2</v>
      </c>
      <c r="AX27" s="6"/>
      <c r="AY27" s="6"/>
      <c r="AZ27" s="6"/>
      <c r="BA27" s="6"/>
      <c r="BB27" s="6"/>
      <c r="BC27" s="6">
        <v>2</v>
      </c>
      <c r="BD27" s="6"/>
      <c r="BE27" s="6"/>
      <c r="BF27" s="6"/>
      <c r="BG27" s="6">
        <v>2</v>
      </c>
      <c r="BH27" s="6"/>
      <c r="BI27" s="6"/>
      <c r="BJ27" s="6"/>
      <c r="BK27" s="6">
        <v>2</v>
      </c>
      <c r="BL27" s="6"/>
      <c r="BM27" s="6"/>
      <c r="BN27" s="6"/>
      <c r="BO27" s="6"/>
      <c r="BP27" s="6"/>
      <c r="BQ27" s="4">
        <f t="shared" si="3"/>
        <v>11</v>
      </c>
      <c r="BR27" s="4"/>
      <c r="BS27" s="4"/>
      <c r="BT27" s="45">
        <f t="shared" si="4"/>
        <v>15</v>
      </c>
      <c r="BU27" s="7"/>
    </row>
    <row r="28" spans="3:73" x14ac:dyDescent="0.3">
      <c r="C28" s="6">
        <v>15</v>
      </c>
      <c r="D28" s="5" t="str">
        <f>IF(VLOOKUP(C28,DSNV!$C$8:$N$48,3,FALSE)=0,"",VLOOKUP(C28,DSNV!$C$8:$N$48,3,FALSE))</f>
        <v>Nguyễn Thị Nhã Quyên</v>
      </c>
      <c r="E28" s="4" t="str">
        <f>IF(VLOOKUP(C28,DSNV!$C$8:$N$48,8,FALSE)="","",VLOOKUP(C28,DSNV!$C$8:$N$48,8,FALSE))</f>
        <v>Thành viên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>
        <v>2</v>
      </c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4">
        <f t="shared" si="2"/>
        <v>2</v>
      </c>
      <c r="AL28" s="6"/>
      <c r="AM28" s="6"/>
      <c r="AN28" s="6"/>
      <c r="AO28" s="6"/>
      <c r="AP28" s="6"/>
      <c r="AQ28" s="6"/>
      <c r="AR28" s="6">
        <v>2</v>
      </c>
      <c r="AS28" s="6"/>
      <c r="AT28" s="6"/>
      <c r="AU28" s="6"/>
      <c r="AV28" s="6"/>
      <c r="AW28" s="6"/>
      <c r="AX28" s="6">
        <v>2</v>
      </c>
      <c r="AY28" s="6">
        <v>2</v>
      </c>
      <c r="AZ28" s="6"/>
      <c r="BA28" s="6"/>
      <c r="BB28" s="6"/>
      <c r="BC28" s="6"/>
      <c r="BD28" s="6">
        <v>2</v>
      </c>
      <c r="BE28" s="6"/>
      <c r="BF28" s="6"/>
      <c r="BG28" s="6"/>
      <c r="BH28" s="6"/>
      <c r="BI28" s="6"/>
      <c r="BJ28" s="6"/>
      <c r="BK28" s="6"/>
      <c r="BL28" s="6">
        <v>2</v>
      </c>
      <c r="BM28" s="6"/>
      <c r="BN28" s="6"/>
      <c r="BO28" s="6"/>
      <c r="BP28" s="6"/>
      <c r="BQ28" s="4">
        <f t="shared" si="3"/>
        <v>10</v>
      </c>
      <c r="BR28" s="4">
        <f t="shared" ref="BR28:BR33" si="6">BQ28/2</f>
        <v>5</v>
      </c>
      <c r="BS28" s="4"/>
      <c r="BT28" s="45">
        <f t="shared" si="4"/>
        <v>17</v>
      </c>
      <c r="BU28" s="7"/>
    </row>
    <row r="29" spans="3:73" x14ac:dyDescent="0.3">
      <c r="C29" s="6">
        <v>16</v>
      </c>
      <c r="D29" s="5" t="str">
        <f>IF(VLOOKUP(C29,DSNV!$C$8:$N$48,3,FALSE)=0,"",VLOOKUP(C29,DSNV!$C$8:$N$48,3,FALSE))</f>
        <v>Nguyễn Đức Vĩnh Thắng</v>
      </c>
      <c r="E29" s="4" t="str">
        <f>IF(VLOOKUP(C29,DSNV!$C$8:$N$48,8,FALSE)="","",VLOOKUP(C29,DSNV!$C$8:$N$48,8,FALSE))</f>
        <v>Trưởng ban</v>
      </c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>
        <v>2</v>
      </c>
      <c r="Z29" s="6"/>
      <c r="AA29" s="6"/>
      <c r="AB29" s="6"/>
      <c r="AC29" s="6"/>
      <c r="AD29" s="6"/>
      <c r="AE29" s="6"/>
      <c r="AF29" s="6"/>
      <c r="AG29" s="6">
        <v>2</v>
      </c>
      <c r="AH29" s="6"/>
      <c r="AI29" s="6"/>
      <c r="AJ29" s="6"/>
      <c r="AK29" s="4">
        <f t="shared" si="2"/>
        <v>4</v>
      </c>
      <c r="AL29" s="6"/>
      <c r="AM29" s="6"/>
      <c r="AN29" s="6"/>
      <c r="AO29" s="6"/>
      <c r="AP29" s="6"/>
      <c r="AQ29" s="6"/>
      <c r="AR29" s="6">
        <v>2</v>
      </c>
      <c r="AS29" s="6"/>
      <c r="AT29" s="6"/>
      <c r="AU29" s="6"/>
      <c r="AV29" s="6">
        <v>2</v>
      </c>
      <c r="AW29" s="6"/>
      <c r="AX29" s="6"/>
      <c r="AY29" s="6"/>
      <c r="AZ29" s="6"/>
      <c r="BA29" s="6"/>
      <c r="BB29" s="6"/>
      <c r="BC29" s="6"/>
      <c r="BD29" s="6">
        <v>1</v>
      </c>
      <c r="BE29" s="6"/>
      <c r="BF29" s="6"/>
      <c r="BG29" s="6"/>
      <c r="BH29" s="6"/>
      <c r="BI29" s="6"/>
      <c r="BJ29" s="6">
        <v>2</v>
      </c>
      <c r="BK29" s="6"/>
      <c r="BL29" s="6"/>
      <c r="BM29" s="6"/>
      <c r="BN29" s="6"/>
      <c r="BO29" s="6"/>
      <c r="BP29" s="6"/>
      <c r="BQ29" s="4">
        <f t="shared" si="3"/>
        <v>7</v>
      </c>
      <c r="BR29" s="4">
        <f t="shared" si="6"/>
        <v>3.5</v>
      </c>
      <c r="BS29" s="4"/>
      <c r="BT29" s="45">
        <f t="shared" si="4"/>
        <v>14.5</v>
      </c>
      <c r="BU29" s="7"/>
    </row>
    <row r="30" spans="3:73" x14ac:dyDescent="0.3">
      <c r="C30" s="6">
        <v>17</v>
      </c>
      <c r="D30" s="5" t="str">
        <f>IF(VLOOKUP(C30,DSNV!$C$8:$N$48,3,FALSE)=0,"",VLOOKUP(C30,DSNV!$C$8:$N$48,3,FALSE))</f>
        <v>Nguyễn Thành Tiến</v>
      </c>
      <c r="E30" s="4" t="str">
        <f>IF(VLOOKUP(C30,DSNV!$C$8:$N$48,8,FALSE)="","",VLOOKUP(C30,DSNV!$C$8:$N$48,8,FALSE))</f>
        <v>Thành viên</v>
      </c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>
        <v>2</v>
      </c>
      <c r="AF30" s="6"/>
      <c r="AG30" s="6"/>
      <c r="AH30" s="6"/>
      <c r="AI30" s="6"/>
      <c r="AJ30" s="6"/>
      <c r="AK30" s="4">
        <f t="shared" si="2"/>
        <v>2</v>
      </c>
      <c r="AL30" s="6"/>
      <c r="AM30" s="6"/>
      <c r="AN30" s="6"/>
      <c r="AO30" s="6">
        <v>2</v>
      </c>
      <c r="AP30" s="6">
        <v>2</v>
      </c>
      <c r="AQ30" s="6"/>
      <c r="AR30" s="6"/>
      <c r="AS30" s="6"/>
      <c r="AT30" s="6"/>
      <c r="AU30" s="6"/>
      <c r="AV30" s="6">
        <v>2</v>
      </c>
      <c r="AW30" s="6"/>
      <c r="AX30" s="6"/>
      <c r="AY30" s="6"/>
      <c r="AZ30" s="6"/>
      <c r="BA30" s="6"/>
      <c r="BB30" s="6"/>
      <c r="BC30" s="6">
        <v>2</v>
      </c>
      <c r="BD30" s="6"/>
      <c r="BE30" s="6"/>
      <c r="BF30" s="6"/>
      <c r="BG30" s="6"/>
      <c r="BH30" s="6"/>
      <c r="BI30" s="6"/>
      <c r="BJ30" s="6">
        <v>2</v>
      </c>
      <c r="BK30" s="6"/>
      <c r="BL30" s="6"/>
      <c r="BM30" s="6"/>
      <c r="BN30" s="6"/>
      <c r="BO30" s="6"/>
      <c r="BP30" s="6"/>
      <c r="BQ30" s="4">
        <f t="shared" si="3"/>
        <v>10</v>
      </c>
      <c r="BR30" s="4">
        <f t="shared" si="6"/>
        <v>5</v>
      </c>
      <c r="BS30" s="4"/>
      <c r="BT30" s="45">
        <f t="shared" si="4"/>
        <v>17</v>
      </c>
      <c r="BU30" s="7"/>
    </row>
    <row r="31" spans="3:73" x14ac:dyDescent="0.3">
      <c r="C31" s="6">
        <v>18</v>
      </c>
      <c r="D31" s="5" t="str">
        <f>IF(VLOOKUP(C31,DSNV!$C$8:$N$48,3,FALSE)=0,"",VLOOKUP(C31,DSNV!$C$8:$N$48,3,FALSE))</f>
        <v>Trần Thị Trúc</v>
      </c>
      <c r="E31" s="4" t="str">
        <f>IF(VLOOKUP(C31,DSNV!$C$8:$N$48,8,FALSE)="","",VLOOKUP(C31,DSNV!$C$8:$N$48,8,FALSE))</f>
        <v>Thành viên</v>
      </c>
      <c r="F31" s="6"/>
      <c r="G31" s="6"/>
      <c r="H31" s="6"/>
      <c r="I31" s="6"/>
      <c r="J31" s="6"/>
      <c r="K31" s="6"/>
      <c r="L31" s="6">
        <v>2</v>
      </c>
      <c r="M31" s="6"/>
      <c r="N31" s="6"/>
      <c r="O31" s="6"/>
      <c r="P31" s="6"/>
      <c r="Q31" s="6"/>
      <c r="R31" s="6">
        <v>2</v>
      </c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4">
        <f t="shared" si="2"/>
        <v>4</v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>
        <v>2</v>
      </c>
      <c r="AX31" s="6"/>
      <c r="AY31" s="6"/>
      <c r="AZ31" s="6"/>
      <c r="BA31" s="6"/>
      <c r="BB31" s="6"/>
      <c r="BC31" s="6"/>
      <c r="BD31" s="6"/>
      <c r="BE31" s="6"/>
      <c r="BF31" s="6">
        <v>2</v>
      </c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4">
        <f t="shared" si="3"/>
        <v>4</v>
      </c>
      <c r="BR31" s="4">
        <f t="shared" si="6"/>
        <v>2</v>
      </c>
      <c r="BS31" s="4"/>
      <c r="BT31" s="45">
        <f t="shared" si="4"/>
        <v>10</v>
      </c>
      <c r="BU31" s="7"/>
    </row>
    <row r="32" spans="3:73" x14ac:dyDescent="0.3">
      <c r="C32" s="6">
        <v>19</v>
      </c>
      <c r="D32" s="5" t="str">
        <f>IF(VLOOKUP(C32,DSNV!$C$8:$N$48,3,FALSE)=0,"",VLOOKUP(C32,DSNV!$C$8:$N$48,3,FALSE))</f>
        <v>Bùi Hoàng Trung</v>
      </c>
      <c r="E32" s="4" t="str">
        <f>IF(VLOOKUP(C32,DSNV!$C$8:$N$48,8,FALSE)="","",VLOOKUP(C32,DSNV!$C$8:$N$48,8,FALSE))</f>
        <v>Thành viên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>
        <v>2</v>
      </c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4">
        <f t="shared" si="2"/>
        <v>2</v>
      </c>
      <c r="AL32" s="6"/>
      <c r="AM32" s="6"/>
      <c r="AN32" s="6"/>
      <c r="AO32" s="6">
        <v>2</v>
      </c>
      <c r="AP32" s="6"/>
      <c r="AQ32" s="6">
        <v>2</v>
      </c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4">
        <f t="shared" si="3"/>
        <v>4</v>
      </c>
      <c r="BR32" s="4">
        <f t="shared" si="6"/>
        <v>2</v>
      </c>
      <c r="BS32" s="4"/>
      <c r="BT32" s="45">
        <f t="shared" si="4"/>
        <v>8</v>
      </c>
      <c r="BU32" s="7"/>
    </row>
    <row r="33" spans="3:73" ht="15" thickBot="1" x14ac:dyDescent="0.35">
      <c r="C33" s="6">
        <v>20</v>
      </c>
      <c r="D33" s="5" t="str">
        <f>IF(VLOOKUP(C33,DSNV!$C$8:$N$48,3,FALSE)=0,"",VLOOKUP(C33,DSNV!$C$8:$N$48,3,FALSE))</f>
        <v>Ngô Trúc Tường Vy</v>
      </c>
      <c r="E33" s="4" t="str">
        <f>IF(VLOOKUP(C33,DSNV!$C$8:$N$48,8,FALSE)="","",VLOOKUP(C33,DSNV!$C$8:$N$48,8,FALSE))</f>
        <v>Trưởng ban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>
        <v>2</v>
      </c>
      <c r="AG33" s="6"/>
      <c r="AH33" s="6"/>
      <c r="AI33" s="6"/>
      <c r="AJ33" s="6"/>
      <c r="AK33" s="4">
        <f t="shared" si="2"/>
        <v>2</v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>
        <v>2</v>
      </c>
      <c r="BE33" s="6"/>
      <c r="BF33" s="6"/>
      <c r="BG33" s="6"/>
      <c r="BH33" s="6"/>
      <c r="BI33" s="6"/>
      <c r="BJ33" s="6"/>
      <c r="BK33" s="6"/>
      <c r="BL33" s="6">
        <v>2</v>
      </c>
      <c r="BM33" s="6"/>
      <c r="BN33" s="6"/>
      <c r="BO33" s="6"/>
      <c r="BP33" s="6"/>
      <c r="BQ33" s="4">
        <f t="shared" si="3"/>
        <v>4</v>
      </c>
      <c r="BR33" s="4">
        <f t="shared" si="6"/>
        <v>2</v>
      </c>
      <c r="BS33" s="4"/>
      <c r="BT33" s="45">
        <f t="shared" si="4"/>
        <v>8</v>
      </c>
      <c r="BU33" s="7"/>
    </row>
    <row r="34" spans="3:73" ht="13.8" hidden="1" customHeight="1" x14ac:dyDescent="0.3">
      <c r="C34" s="6">
        <v>21</v>
      </c>
      <c r="D34" s="5" t="str">
        <f>IF(VLOOKUP(C34,DSNV!$C$8:$N$48,3,FALSE)=0,"",VLOOKUP(C34,DSNV!$C$8:$N$48,3,FALSE))</f>
        <v/>
      </c>
      <c r="E34" s="4" t="str">
        <f>IF(VLOOKUP(C34,DSNV!$C$8:$N$48,8,FALSE)="","",VLOOKUP(C34,DSNV!$C$8:$N$48,8,FALSE))</f>
        <v/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4">
        <f t="shared" si="2"/>
        <v>0</v>
      </c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4">
        <f t="shared" si="3"/>
        <v>0</v>
      </c>
      <c r="BR34" s="4"/>
      <c r="BS34" s="4"/>
      <c r="BT34" s="45">
        <f t="shared" si="4"/>
        <v>0</v>
      </c>
      <c r="BU34" s="7"/>
    </row>
    <row r="35" spans="3:73" ht="13.8" hidden="1" customHeight="1" x14ac:dyDescent="0.3">
      <c r="C35" s="6">
        <v>22</v>
      </c>
      <c r="D35" s="5" t="str">
        <f>IF(VLOOKUP(C35,DSNV!$C$8:$N$48,3,FALSE)=0,"",VLOOKUP(C35,DSNV!$C$8:$N$48,3,FALSE))</f>
        <v/>
      </c>
      <c r="E35" s="4" t="str">
        <f>IF(VLOOKUP(C35,DSNV!$C$8:$N$48,8,FALSE)="","",VLOOKUP(C35,DSNV!$C$8:$N$48,8,FALSE))</f>
        <v/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4">
        <f t="shared" si="2"/>
        <v>0</v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4">
        <f t="shared" si="3"/>
        <v>0</v>
      </c>
      <c r="BR35" s="4"/>
      <c r="BS35" s="4"/>
      <c r="BT35" s="45">
        <f t="shared" si="4"/>
        <v>0</v>
      </c>
      <c r="BU35" s="7"/>
    </row>
    <row r="36" spans="3:73" ht="13.8" hidden="1" customHeight="1" x14ac:dyDescent="0.3">
      <c r="C36" s="6">
        <v>23</v>
      </c>
      <c r="D36" s="5" t="str">
        <f>IF(VLOOKUP(C36,DSNV!$C$8:$N$48,3,FALSE)=0,"",VLOOKUP(C36,DSNV!$C$8:$N$48,3,FALSE))</f>
        <v/>
      </c>
      <c r="E36" s="4" t="str">
        <f>IF(VLOOKUP(C36,DSNV!$C$8:$N$48,8,FALSE)="","",VLOOKUP(C36,DSNV!$C$8:$N$48,8,FALSE))</f>
        <v/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4">
        <f t="shared" si="2"/>
        <v>0</v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4">
        <f t="shared" si="3"/>
        <v>0</v>
      </c>
      <c r="BR36" s="4"/>
      <c r="BS36" s="4"/>
      <c r="BT36" s="45">
        <f t="shared" si="4"/>
        <v>0</v>
      </c>
      <c r="BU36" s="7"/>
    </row>
    <row r="37" spans="3:73" ht="13.8" hidden="1" customHeight="1" x14ac:dyDescent="0.3">
      <c r="C37" s="6">
        <v>24</v>
      </c>
      <c r="D37" s="5" t="str">
        <f>IF(VLOOKUP(C37,DSNV!$C$8:$N$48,3,FALSE)=0,"",VLOOKUP(C37,DSNV!$C$8:$N$48,3,FALSE))</f>
        <v/>
      </c>
      <c r="E37" s="4" t="str">
        <f>IF(VLOOKUP(C37,DSNV!$C$8:$N$48,8,FALSE)="","",VLOOKUP(C37,DSNV!$C$8:$N$48,8,FALSE))</f>
        <v/>
      </c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4">
        <f t="shared" si="2"/>
        <v>0</v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4">
        <f t="shared" si="3"/>
        <v>0</v>
      </c>
      <c r="BR37" s="4"/>
      <c r="BS37" s="4"/>
      <c r="BT37" s="45">
        <f t="shared" si="4"/>
        <v>0</v>
      </c>
      <c r="BU37" s="7"/>
    </row>
    <row r="38" spans="3:73" ht="13.8" hidden="1" customHeight="1" x14ac:dyDescent="0.3">
      <c r="C38" s="6">
        <v>25</v>
      </c>
      <c r="D38" s="5" t="str">
        <f>IF(VLOOKUP(C38,DSNV!$C$8:$N$48,3,FALSE)=0,"",VLOOKUP(C38,DSNV!$C$8:$N$48,3,FALSE))</f>
        <v/>
      </c>
      <c r="E38" s="4" t="str">
        <f>IF(VLOOKUP(C38,DSNV!$C$8:$N$48,8,FALSE)="","",VLOOKUP(C38,DSNV!$C$8:$N$48,8,FALSE))</f>
        <v/>
      </c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4">
        <f t="shared" si="2"/>
        <v>0</v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4">
        <f t="shared" si="3"/>
        <v>0</v>
      </c>
      <c r="BR38" s="4"/>
      <c r="BS38" s="4"/>
      <c r="BT38" s="45">
        <f t="shared" si="4"/>
        <v>0</v>
      </c>
      <c r="BU38" s="7"/>
    </row>
    <row r="39" spans="3:73" ht="13.8" hidden="1" customHeight="1" x14ac:dyDescent="0.3">
      <c r="C39" s="6">
        <v>26</v>
      </c>
      <c r="D39" s="5" t="str">
        <f>IF(VLOOKUP(C39,DSNV!$C$8:$N$48,3,FALSE)=0,"",VLOOKUP(C39,DSNV!$C$8:$N$48,3,FALSE))</f>
        <v/>
      </c>
      <c r="E39" s="4" t="str">
        <f>IF(VLOOKUP(C39,DSNV!$C$8:$N$48,8,FALSE)="","",VLOOKUP(C39,DSNV!$C$8:$N$48,8,FALSE))</f>
        <v/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4">
        <f t="shared" si="2"/>
        <v>0</v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4">
        <f t="shared" si="3"/>
        <v>0</v>
      </c>
      <c r="BR39" s="4"/>
      <c r="BS39" s="4"/>
      <c r="BT39" s="45">
        <f t="shared" si="4"/>
        <v>0</v>
      </c>
      <c r="BU39" s="7"/>
    </row>
    <row r="40" spans="3:73" ht="13.8" hidden="1" customHeight="1" x14ac:dyDescent="0.3">
      <c r="C40" s="6">
        <v>27</v>
      </c>
      <c r="D40" s="5" t="str">
        <f>IF(VLOOKUP(C40,DSNV!$C$8:$N$48,3,FALSE)=0,"",VLOOKUP(C40,DSNV!$C$8:$N$48,3,FALSE))</f>
        <v/>
      </c>
      <c r="E40" s="4" t="str">
        <f>IF(VLOOKUP(C40,DSNV!$C$8:$N$48,8,FALSE)="","",VLOOKUP(C40,DSNV!$C$8:$N$48,8,FALSE))</f>
        <v/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4">
        <f t="shared" si="2"/>
        <v>0</v>
      </c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4">
        <f t="shared" si="3"/>
        <v>0</v>
      </c>
      <c r="BR40" s="4"/>
      <c r="BS40" s="4"/>
      <c r="BT40" s="45">
        <f t="shared" si="4"/>
        <v>0</v>
      </c>
      <c r="BU40" s="7"/>
    </row>
    <row r="41" spans="3:73" ht="13.8" hidden="1" customHeight="1" x14ac:dyDescent="0.3">
      <c r="C41" s="6">
        <v>28</v>
      </c>
      <c r="D41" s="5" t="str">
        <f>IF(VLOOKUP(C41,DSNV!$C$8:$N$48,3,FALSE)=0,"",VLOOKUP(C41,DSNV!$C$8:$N$48,3,FALSE))</f>
        <v/>
      </c>
      <c r="E41" s="4" t="str">
        <f>IF(VLOOKUP(C41,DSNV!$C$8:$N$48,8,FALSE)="","",VLOOKUP(C41,DSNV!$C$8:$N$48,8,FALSE))</f>
        <v/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4">
        <f t="shared" si="2"/>
        <v>0</v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4">
        <f t="shared" si="3"/>
        <v>0</v>
      </c>
      <c r="BR41" s="4"/>
      <c r="BS41" s="4"/>
      <c r="BT41" s="45">
        <f t="shared" si="4"/>
        <v>0</v>
      </c>
      <c r="BU41" s="7"/>
    </row>
    <row r="42" spans="3:73" ht="13.8" hidden="1" customHeight="1" x14ac:dyDescent="0.3">
      <c r="C42" s="6">
        <v>29</v>
      </c>
      <c r="D42" s="5" t="str">
        <f>IF(VLOOKUP(C42,DSNV!$C$8:$N$48,3,FALSE)=0,"",VLOOKUP(C42,DSNV!$C$8:$N$48,3,FALSE))</f>
        <v/>
      </c>
      <c r="E42" s="4" t="str">
        <f>IF(VLOOKUP(C42,DSNV!$C$8:$N$48,8,FALSE)="","",VLOOKUP(C42,DSNV!$C$8:$N$48,8,FALSE))</f>
        <v/>
      </c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4">
        <f t="shared" si="2"/>
        <v>0</v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4">
        <f t="shared" si="3"/>
        <v>0</v>
      </c>
      <c r="BR42" s="4"/>
      <c r="BS42" s="4"/>
      <c r="BT42" s="45">
        <f t="shared" si="4"/>
        <v>0</v>
      </c>
      <c r="BU42" s="7"/>
    </row>
    <row r="43" spans="3:73" ht="13.8" hidden="1" customHeight="1" x14ac:dyDescent="0.3">
      <c r="C43" s="6">
        <v>30</v>
      </c>
      <c r="D43" s="5" t="str">
        <f>IF(VLOOKUP(C43,DSNV!$C$8:$N$48,3,FALSE)=0,"",VLOOKUP(C43,DSNV!$C$8:$N$48,3,FALSE))</f>
        <v/>
      </c>
      <c r="E43" s="4" t="str">
        <f>IF(VLOOKUP(C43,DSNV!$C$8:$N$48,8,FALSE)="","",VLOOKUP(C43,DSNV!$C$8:$N$48,8,FALSE))</f>
        <v/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4">
        <f t="shared" si="2"/>
        <v>0</v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4">
        <f t="shared" si="3"/>
        <v>0</v>
      </c>
      <c r="BR43" s="4"/>
      <c r="BS43" s="4"/>
      <c r="BT43" s="45">
        <f t="shared" si="4"/>
        <v>0</v>
      </c>
      <c r="BU43" s="7"/>
    </row>
    <row r="44" spans="3:73" ht="13.8" hidden="1" customHeight="1" x14ac:dyDescent="0.3">
      <c r="C44" s="6">
        <v>31</v>
      </c>
      <c r="D44" s="5" t="str">
        <f>IF(VLOOKUP(C44,DSNV!$C$8:$N$48,3,FALSE)=0,"",VLOOKUP(C44,DSNV!$C$8:$N$48,3,FALSE))</f>
        <v/>
      </c>
      <c r="E44" s="4" t="str">
        <f>IF(VLOOKUP(C44,DSNV!$C$8:$N$48,8,FALSE)="","",VLOOKUP(C44,DSNV!$C$8:$N$48,8,FALSE))</f>
        <v/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4">
        <f t="shared" si="2"/>
        <v>0</v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4">
        <f t="shared" si="3"/>
        <v>0</v>
      </c>
      <c r="BR44" s="4"/>
      <c r="BS44" s="4"/>
      <c r="BT44" s="45">
        <f t="shared" si="4"/>
        <v>0</v>
      </c>
      <c r="BU44" s="7"/>
    </row>
    <row r="45" spans="3:73" ht="13.8" hidden="1" customHeight="1" x14ac:dyDescent="0.3">
      <c r="C45" s="6">
        <v>32</v>
      </c>
      <c r="D45" s="5" t="str">
        <f>IF(VLOOKUP(C45,DSNV!$C$8:$N$48,3,FALSE)=0,"",VLOOKUP(C45,DSNV!$C$8:$N$48,3,FALSE))</f>
        <v/>
      </c>
      <c r="E45" s="4" t="str">
        <f>IF(VLOOKUP(C45,DSNV!$C$8:$N$48,8,FALSE)="","",VLOOKUP(C45,DSNV!$C$8:$N$48,8,FALSE))</f>
        <v/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4">
        <f t="shared" si="2"/>
        <v>0</v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4">
        <f t="shared" si="3"/>
        <v>0</v>
      </c>
      <c r="BR45" s="4"/>
      <c r="BS45" s="4"/>
      <c r="BT45" s="45">
        <f t="shared" si="4"/>
        <v>0</v>
      </c>
      <c r="BU45" s="7"/>
    </row>
    <row r="46" spans="3:73" ht="13.8" hidden="1" customHeight="1" x14ac:dyDescent="0.3">
      <c r="C46" s="6">
        <v>33</v>
      </c>
      <c r="D46" s="5" t="str">
        <f>IF(VLOOKUP(C46,DSNV!$C$8:$N$48,3,FALSE)=0,"",VLOOKUP(C46,DSNV!$C$8:$N$48,3,FALSE))</f>
        <v/>
      </c>
      <c r="E46" s="4" t="str">
        <f>IF(VLOOKUP(C46,DSNV!$C$8:$N$48,8,FALSE)="","",VLOOKUP(C46,DSNV!$C$8:$N$48,8,FALSE))</f>
        <v/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4">
        <f t="shared" si="2"/>
        <v>0</v>
      </c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4">
        <f t="shared" si="3"/>
        <v>0</v>
      </c>
      <c r="BR46" s="4"/>
      <c r="BS46" s="4"/>
      <c r="BT46" s="45">
        <f t="shared" si="4"/>
        <v>0</v>
      </c>
      <c r="BU46" s="7"/>
    </row>
    <row r="47" spans="3:73" ht="13.8" hidden="1" customHeight="1" x14ac:dyDescent="0.3">
      <c r="C47" s="6">
        <v>34</v>
      </c>
      <c r="D47" s="5" t="str">
        <f>IF(VLOOKUP(C47,DSNV!$C$8:$N$48,3,FALSE)=0,"",VLOOKUP(C47,DSNV!$C$8:$N$48,3,FALSE))</f>
        <v/>
      </c>
      <c r="E47" s="4" t="str">
        <f>IF(VLOOKUP(C47,DSNV!$C$8:$N$48,8,FALSE)="","",VLOOKUP(C47,DSNV!$C$8:$N$48,8,FALSE))</f>
        <v/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4">
        <f t="shared" si="2"/>
        <v>0</v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4">
        <f t="shared" si="3"/>
        <v>0</v>
      </c>
      <c r="BR47" s="4"/>
      <c r="BS47" s="4"/>
      <c r="BT47" s="45">
        <f t="shared" si="4"/>
        <v>0</v>
      </c>
      <c r="BU47" s="7"/>
    </row>
    <row r="48" spans="3:73" ht="13.8" hidden="1" customHeight="1" x14ac:dyDescent="0.3">
      <c r="C48" s="6">
        <v>35</v>
      </c>
      <c r="D48" s="5" t="str">
        <f>IF(VLOOKUP(C48,DSNV!$C$8:$N$48,3,FALSE)=0,"",VLOOKUP(C48,DSNV!$C$8:$N$48,3,FALSE))</f>
        <v/>
      </c>
      <c r="E48" s="4" t="str">
        <f>IF(VLOOKUP(C48,DSNV!$C$8:$N$48,8,FALSE)="","",VLOOKUP(C48,DSNV!$C$8:$N$48,8,FALSE))</f>
        <v/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4">
        <f t="shared" si="2"/>
        <v>0</v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4">
        <f t="shared" si="3"/>
        <v>0</v>
      </c>
      <c r="BR48" s="4"/>
      <c r="BS48" s="4"/>
      <c r="BT48" s="45">
        <f t="shared" si="4"/>
        <v>0</v>
      </c>
      <c r="BU48" s="7"/>
    </row>
    <row r="49" spans="3:73" ht="13.8" hidden="1" customHeight="1" x14ac:dyDescent="0.3">
      <c r="C49" s="6">
        <v>36</v>
      </c>
      <c r="D49" s="5" t="str">
        <f>IF(VLOOKUP(C49,DSNV!$C$8:$N$48,3,FALSE)=0,"",VLOOKUP(C49,DSNV!$C$8:$N$48,3,FALSE))</f>
        <v/>
      </c>
      <c r="E49" s="4" t="str">
        <f>IF(VLOOKUP(C49,DSNV!$C$8:$N$48,8,FALSE)="","",VLOOKUP(C49,DSNV!$C$8:$N$48,8,FALSE))</f>
        <v/>
      </c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4">
        <f t="shared" si="2"/>
        <v>0</v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4">
        <f t="shared" si="3"/>
        <v>0</v>
      </c>
      <c r="BR49" s="4"/>
      <c r="BS49" s="4"/>
      <c r="BT49" s="45">
        <f t="shared" si="4"/>
        <v>0</v>
      </c>
      <c r="BU49" s="7"/>
    </row>
    <row r="50" spans="3:73" ht="13.8" hidden="1" customHeight="1" x14ac:dyDescent="0.3">
      <c r="C50" s="6">
        <v>37</v>
      </c>
      <c r="D50" s="5" t="str">
        <f>IF(VLOOKUP(C50,DSNV!$C$8:$N$48,3,FALSE)=0,"",VLOOKUP(C50,DSNV!$C$8:$N$48,3,FALSE))</f>
        <v/>
      </c>
      <c r="E50" s="4" t="str">
        <f>IF(VLOOKUP(C50,DSNV!$C$8:$N$48,8,FALSE)="","",VLOOKUP(C50,DSNV!$C$8:$N$48,8,FALSE))</f>
        <v/>
      </c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4">
        <f t="shared" si="2"/>
        <v>0</v>
      </c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4">
        <f t="shared" si="3"/>
        <v>0</v>
      </c>
      <c r="BR50" s="4"/>
      <c r="BS50" s="4"/>
      <c r="BT50" s="45">
        <f t="shared" si="4"/>
        <v>0</v>
      </c>
      <c r="BU50" s="7"/>
    </row>
    <row r="51" spans="3:73" ht="13.8" hidden="1" customHeight="1" x14ac:dyDescent="0.3">
      <c r="C51" s="6">
        <v>38</v>
      </c>
      <c r="D51" s="5" t="str">
        <f>IF(VLOOKUP(C51,DSNV!$C$8:$N$48,3,FALSE)=0,"",VLOOKUP(C51,DSNV!$C$8:$N$48,3,FALSE))</f>
        <v/>
      </c>
      <c r="E51" s="4" t="str">
        <f>IF(VLOOKUP(C51,DSNV!$C$8:$N$48,8,FALSE)="","",VLOOKUP(C51,DSNV!$C$8:$N$48,8,FALSE))</f>
        <v/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4">
        <f t="shared" si="2"/>
        <v>0</v>
      </c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4">
        <f t="shared" si="3"/>
        <v>0</v>
      </c>
      <c r="BR51" s="4"/>
      <c r="BS51" s="4"/>
      <c r="BT51" s="45">
        <f t="shared" si="4"/>
        <v>0</v>
      </c>
      <c r="BU51" s="7"/>
    </row>
    <row r="52" spans="3:73" ht="13.8" hidden="1" customHeight="1" x14ac:dyDescent="0.3">
      <c r="C52" s="6">
        <v>39</v>
      </c>
      <c r="D52" s="5" t="str">
        <f>IF(VLOOKUP(C52,DSNV!$C$8:$N$48,3,FALSE)=0,"",VLOOKUP(C52,DSNV!$C$8:$N$48,3,FALSE))</f>
        <v/>
      </c>
      <c r="E52" s="4" t="str">
        <f>IF(VLOOKUP(C52,DSNV!$C$8:$N$48,8,FALSE)="","",VLOOKUP(C52,DSNV!$C$8:$N$48,8,FALSE))</f>
        <v/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4">
        <f t="shared" si="2"/>
        <v>0</v>
      </c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4">
        <f t="shared" si="3"/>
        <v>0</v>
      </c>
      <c r="BR52" s="4"/>
      <c r="BS52" s="4"/>
      <c r="BT52" s="45">
        <f t="shared" si="4"/>
        <v>0</v>
      </c>
      <c r="BU52" s="7"/>
    </row>
    <row r="53" spans="3:73" ht="14.4" hidden="1" customHeight="1" thickBot="1" x14ac:dyDescent="0.35">
      <c r="C53" s="14">
        <v>40</v>
      </c>
      <c r="D53" s="5" t="str">
        <f>IF(VLOOKUP(C53,DSNV!$C$8:$N$48,3,FALSE)=0,"",VLOOKUP(C53,DSNV!$C$8:$N$48,3,FALSE))</f>
        <v/>
      </c>
      <c r="E53" s="4" t="str">
        <f>IF(VLOOKUP(C53,DSNV!$C$8:$N$48,8,FALSE)="","",VLOOKUP(C53,DSNV!$C$8:$N$48,8,FALSE))</f>
        <v/>
      </c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4">
        <f t="shared" si="2"/>
        <v>0</v>
      </c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4">
        <f t="shared" si="3"/>
        <v>0</v>
      </c>
      <c r="BR53" s="4"/>
      <c r="BS53" s="4"/>
      <c r="BT53" s="45">
        <f t="shared" si="4"/>
        <v>0</v>
      </c>
      <c r="BU53" s="15"/>
    </row>
    <row r="54" spans="3:73" ht="15" thickBot="1" x14ac:dyDescent="0.35">
      <c r="C54" s="121" t="s">
        <v>53</v>
      </c>
      <c r="D54" s="121"/>
      <c r="E54" s="121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6">
        <f>SUM(AK14:AK53)</f>
        <v>80</v>
      </c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6">
        <f>SUM(BQ14:BQ53)</f>
        <v>171</v>
      </c>
      <c r="BR54" s="37">
        <f t="shared" ref="BR54:BS54" si="7">SUM(BR14:BR53)</f>
        <v>41</v>
      </c>
      <c r="BS54" s="37">
        <f t="shared" si="7"/>
        <v>5</v>
      </c>
      <c r="BT54" s="37">
        <f>SUM(BT14:BT53)</f>
        <v>297</v>
      </c>
      <c r="BU54" s="17"/>
    </row>
    <row r="55" spans="3:73" x14ac:dyDescent="0.3"/>
    <row r="56" spans="3:73" x14ac:dyDescent="0.3"/>
    <row r="57" spans="3:73" s="78" customFormat="1" x14ac:dyDescent="0.3">
      <c r="C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  <c r="AW57" s="77"/>
      <c r="AX57" s="77"/>
      <c r="AY57" s="77"/>
      <c r="AZ57" s="77"/>
      <c r="BA57" s="77"/>
      <c r="BB57" s="77"/>
      <c r="BC57" s="77"/>
      <c r="BD57" s="77"/>
      <c r="BE57" s="77"/>
      <c r="BF57" s="77"/>
      <c r="BG57" s="77"/>
      <c r="BH57" s="77"/>
      <c r="BI57" s="77"/>
      <c r="BJ57" s="77"/>
      <c r="BK57" s="77"/>
      <c r="BL57" s="77"/>
      <c r="BM57" s="77"/>
      <c r="BN57" s="77"/>
      <c r="BO57" s="77"/>
      <c r="BP57" s="77"/>
      <c r="BQ57" s="77"/>
      <c r="BR57" s="77"/>
      <c r="BS57" s="77"/>
      <c r="BT57" s="77"/>
    </row>
    <row r="58" spans="3:73" s="78" customFormat="1" x14ac:dyDescent="0.3">
      <c r="C58" s="77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7"/>
      <c r="AL58" s="77"/>
      <c r="AM58" s="77"/>
      <c r="AN58" s="77"/>
      <c r="AO58" s="77"/>
      <c r="AP58" s="77"/>
      <c r="AQ58" s="77"/>
      <c r="AR58" s="77"/>
      <c r="AS58" s="77"/>
      <c r="AT58" s="77"/>
      <c r="AU58" s="77"/>
      <c r="AV58" s="77"/>
      <c r="AW58" s="77"/>
      <c r="AX58" s="77"/>
      <c r="AY58" s="77"/>
      <c r="AZ58" s="77"/>
      <c r="BA58" s="77"/>
      <c r="BB58" s="77"/>
      <c r="BC58" s="77"/>
      <c r="BD58" s="77"/>
      <c r="BE58" s="77"/>
      <c r="BF58" s="77"/>
      <c r="BG58" s="77"/>
      <c r="BH58" s="77"/>
      <c r="BI58" s="77"/>
      <c r="BJ58" s="77"/>
      <c r="BK58" s="77"/>
      <c r="BL58" s="77"/>
      <c r="BM58" s="77"/>
      <c r="BN58" s="77"/>
      <c r="BO58" s="77"/>
      <c r="BP58" s="77"/>
      <c r="BQ58" s="77"/>
      <c r="BR58" s="77"/>
      <c r="BS58" s="77"/>
      <c r="BT58" s="77"/>
    </row>
    <row r="59" spans="3:73" s="78" customFormat="1" x14ac:dyDescent="0.3">
      <c r="C59" s="77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  <c r="AI59" s="77"/>
      <c r="AJ59" s="77"/>
      <c r="AK59" s="77"/>
      <c r="AL59" s="77"/>
      <c r="AM59" s="77"/>
      <c r="AN59" s="77"/>
      <c r="AO59" s="77"/>
      <c r="AP59" s="77"/>
      <c r="AQ59" s="77"/>
      <c r="AR59" s="77"/>
      <c r="AS59" s="77"/>
      <c r="AT59" s="77"/>
      <c r="AU59" s="77"/>
      <c r="AV59" s="77"/>
      <c r="AW59" s="77"/>
      <c r="AX59" s="77"/>
      <c r="AY59" s="77"/>
      <c r="AZ59" s="77"/>
      <c r="BA59" s="77"/>
      <c r="BB59" s="77"/>
      <c r="BC59" s="77"/>
      <c r="BD59" s="77"/>
      <c r="BE59" s="77"/>
      <c r="BF59" s="77"/>
      <c r="BG59" s="77"/>
      <c r="BH59" s="77"/>
      <c r="BI59" s="77"/>
      <c r="BJ59" s="77"/>
      <c r="BK59" s="77"/>
      <c r="BL59" s="77"/>
      <c r="BM59" s="77"/>
      <c r="BN59" s="77"/>
      <c r="BO59" s="77"/>
      <c r="BP59" s="77"/>
      <c r="BQ59" s="77"/>
      <c r="BR59" s="77"/>
      <c r="BS59" s="77"/>
      <c r="BT59" s="77"/>
    </row>
  </sheetData>
  <autoFilter ref="C11:BU54" xr:uid="{5B728C7B-9475-4B02-8B4D-6C91ABA364A6}"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</autoFilter>
  <mergeCells count="12">
    <mergeCell ref="BQ11:BQ13"/>
    <mergeCell ref="BT11:BT13"/>
    <mergeCell ref="BU11:BU13"/>
    <mergeCell ref="C54:E54"/>
    <mergeCell ref="F11:AJ11"/>
    <mergeCell ref="AL11:BP11"/>
    <mergeCell ref="C11:C13"/>
    <mergeCell ref="D11:D13"/>
    <mergeCell ref="E11:E13"/>
    <mergeCell ref="AK11:AK13"/>
    <mergeCell ref="BR11:BR13"/>
    <mergeCell ref="BS11:BS13"/>
  </mergeCells>
  <conditionalFormatting sqref="F12:AJ54 AL12:BP54">
    <cfRule type="expression" dxfId="23" priority="3">
      <formula>OR(WEEKDAY($D$1+F$12)=1,WEEKDAY($D$1+F$12)=7)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7690C-C626-4EA0-82AF-AE5D17BFD57A}">
  <sheetPr codeName="Sheet6"/>
  <dimension ref="A1:BY59"/>
  <sheetViews>
    <sheetView showGridLines="0" showRowColHeaders="0" workbookViewId="0">
      <pane xSplit="5" ySplit="13" topLeftCell="F14" activePane="bottomRight" state="frozen"/>
      <selection pane="topRight" activeCell="F1" sqref="F1"/>
      <selection pane="bottomLeft" activeCell="A14" sqref="A14"/>
      <selection pane="bottomRight"/>
    </sheetView>
  </sheetViews>
  <sheetFormatPr defaultColWidth="0" defaultRowHeight="14.4" zeroHeight="1" x14ac:dyDescent="0.3"/>
  <cols>
    <col min="1" max="1" width="8.88671875" style="2" customWidth="1"/>
    <col min="2" max="2" width="3.33203125" style="2" customWidth="1"/>
    <col min="3" max="3" width="5.21875" style="3" customWidth="1"/>
    <col min="4" max="4" width="23" style="2" bestFit="1" customWidth="1"/>
    <col min="5" max="5" width="12" style="3" customWidth="1"/>
    <col min="6" max="36" width="3.44140625" style="3" bestFit="1" customWidth="1"/>
    <col min="37" max="37" width="6.77734375" style="3" customWidth="1"/>
    <col min="38" max="68" width="3.44140625" style="3" bestFit="1" customWidth="1"/>
    <col min="69" max="72" width="6.77734375" style="3" customWidth="1"/>
    <col min="73" max="73" width="9.88671875" style="2" customWidth="1"/>
    <col min="74" max="74" width="3.33203125" style="2" customWidth="1"/>
    <col min="75" max="75" width="8.77734375" style="2" customWidth="1"/>
    <col min="76" max="77" width="8.88671875" style="2" hidden="1" customWidth="1"/>
    <col min="78" max="16384" width="8.88671875" style="2" hidden="1"/>
  </cols>
  <sheetData>
    <row r="1" spans="1:77" s="104" customFormat="1" x14ac:dyDescent="0.3">
      <c r="C1" s="105"/>
      <c r="D1" s="106">
        <f>D2-1</f>
        <v>44227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</row>
    <row r="2" spans="1:77" s="104" customFormat="1" x14ac:dyDescent="0.3">
      <c r="C2" s="105"/>
      <c r="D2" s="107" t="str">
        <f>"01/02/"&amp;E9</f>
        <v>01/02/2021</v>
      </c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105"/>
      <c r="BP2" s="105"/>
      <c r="BQ2" s="105"/>
      <c r="BR2" s="105"/>
      <c r="BS2" s="105"/>
      <c r="BT2" s="105"/>
    </row>
    <row r="3" spans="1:77" s="110" customFormat="1" x14ac:dyDescent="0.3">
      <c r="C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1"/>
      <c r="AU3" s="111"/>
      <c r="AV3" s="111"/>
      <c r="AW3" s="111"/>
      <c r="AX3" s="111"/>
      <c r="AY3" s="111"/>
      <c r="AZ3" s="111"/>
      <c r="BA3" s="111"/>
      <c r="BB3" s="111"/>
      <c r="BC3" s="111"/>
      <c r="BD3" s="111"/>
      <c r="BE3" s="111"/>
      <c r="BF3" s="111"/>
      <c r="BG3" s="111"/>
      <c r="BH3" s="111"/>
      <c r="BI3" s="111"/>
      <c r="BJ3" s="111"/>
      <c r="BK3" s="111"/>
      <c r="BL3" s="111"/>
      <c r="BM3" s="111"/>
      <c r="BN3" s="111"/>
      <c r="BO3" s="111"/>
      <c r="BP3" s="111"/>
      <c r="BQ3" s="111"/>
      <c r="BR3" s="111"/>
      <c r="BS3" s="111"/>
      <c r="BT3" s="111"/>
    </row>
    <row r="4" spans="1:77" x14ac:dyDescent="0.3">
      <c r="A4" s="78"/>
      <c r="B4" s="78"/>
      <c r="C4" s="77"/>
      <c r="D4" s="79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  <c r="BC4" s="77"/>
      <c r="BD4" s="77"/>
      <c r="BE4" s="77"/>
      <c r="BF4" s="77"/>
      <c r="BG4" s="77"/>
      <c r="BH4" s="77"/>
      <c r="BI4" s="77"/>
      <c r="BJ4" s="77"/>
      <c r="BK4" s="77"/>
      <c r="BL4" s="77"/>
      <c r="BM4" s="77"/>
      <c r="BN4" s="77"/>
      <c r="BO4" s="77"/>
      <c r="BP4" s="77"/>
      <c r="BQ4" s="77"/>
      <c r="BR4" s="77"/>
      <c r="BS4" s="77"/>
      <c r="BT4" s="77"/>
      <c r="BU4" s="78"/>
      <c r="BV4" s="78"/>
      <c r="BW4" s="78"/>
      <c r="BX4" s="78"/>
      <c r="BY4" s="78"/>
    </row>
    <row r="5" spans="1:77" x14ac:dyDescent="0.3">
      <c r="A5" s="78"/>
      <c r="BW5" s="78"/>
      <c r="BX5" s="78"/>
      <c r="BY5" s="78"/>
    </row>
    <row r="6" spans="1:77" x14ac:dyDescent="0.3">
      <c r="A6" s="78"/>
      <c r="D6" s="41" t="s">
        <v>49</v>
      </c>
      <c r="E6" s="42">
        <f>COUNTIFS(F13:AJ13,"&gt;1",F13:AJ13,"&lt;7")</f>
        <v>20</v>
      </c>
      <c r="BW6" s="78"/>
      <c r="BX6" s="78"/>
      <c r="BY6" s="78"/>
    </row>
    <row r="7" spans="1:77" x14ac:dyDescent="0.3">
      <c r="A7" s="78"/>
      <c r="C7" s="1"/>
      <c r="D7" s="1"/>
      <c r="BW7" s="78"/>
      <c r="BX7" s="78"/>
      <c r="BY7" s="78"/>
    </row>
    <row r="8" spans="1:77" ht="25.8" x14ac:dyDescent="0.5">
      <c r="A8" s="78"/>
      <c r="D8" s="39" t="s">
        <v>50</v>
      </c>
      <c r="E8" s="39"/>
      <c r="BW8" s="78"/>
      <c r="BX8" s="78"/>
      <c r="BY8" s="78"/>
    </row>
    <row r="9" spans="1:77" x14ac:dyDescent="0.3">
      <c r="A9" s="78"/>
      <c r="D9" s="40" t="s">
        <v>88</v>
      </c>
      <c r="E9" s="1">
        <v>2021</v>
      </c>
      <c r="BW9" s="78"/>
      <c r="BX9" s="78"/>
      <c r="BY9" s="78"/>
    </row>
    <row r="10" spans="1:77" x14ac:dyDescent="0.3">
      <c r="A10" s="78"/>
      <c r="BW10" s="78"/>
      <c r="BX10" s="78"/>
      <c r="BY10" s="78"/>
    </row>
    <row r="11" spans="1:77" ht="13.8" customHeight="1" x14ac:dyDescent="0.3">
      <c r="A11" s="78"/>
      <c r="C11" s="120" t="s">
        <v>1</v>
      </c>
      <c r="D11" s="120" t="s">
        <v>2</v>
      </c>
      <c r="E11" s="120" t="s">
        <v>6</v>
      </c>
      <c r="F11" s="120" t="s">
        <v>51</v>
      </c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/>
      <c r="AK11" s="119" t="s">
        <v>54</v>
      </c>
      <c r="AL11" s="120" t="s">
        <v>52</v>
      </c>
      <c r="AM11" s="120"/>
      <c r="AN11" s="120"/>
      <c r="AO11" s="120"/>
      <c r="AP11" s="120"/>
      <c r="AQ11" s="120"/>
      <c r="AR11" s="120"/>
      <c r="AS11" s="120"/>
      <c r="AT11" s="120"/>
      <c r="AU11" s="120"/>
      <c r="AV11" s="120"/>
      <c r="AW11" s="120"/>
      <c r="AX11" s="120"/>
      <c r="AY11" s="120"/>
      <c r="AZ11" s="120"/>
      <c r="BA11" s="120"/>
      <c r="BB11" s="120"/>
      <c r="BC11" s="120"/>
      <c r="BD11" s="120"/>
      <c r="BE11" s="120"/>
      <c r="BF11" s="120"/>
      <c r="BG11" s="120"/>
      <c r="BH11" s="120"/>
      <c r="BI11" s="120"/>
      <c r="BJ11" s="120"/>
      <c r="BK11" s="120"/>
      <c r="BL11" s="120"/>
      <c r="BM11" s="120"/>
      <c r="BN11" s="120"/>
      <c r="BO11" s="120"/>
      <c r="BP11" s="120"/>
      <c r="BQ11" s="119" t="s">
        <v>112</v>
      </c>
      <c r="BR11" s="122" t="s">
        <v>113</v>
      </c>
      <c r="BS11" s="122" t="s">
        <v>114</v>
      </c>
      <c r="BT11" s="119" t="s">
        <v>53</v>
      </c>
      <c r="BU11" s="120" t="s">
        <v>8</v>
      </c>
      <c r="BW11" s="78"/>
      <c r="BX11" s="78"/>
      <c r="BY11" s="78"/>
    </row>
    <row r="12" spans="1:77" x14ac:dyDescent="0.3">
      <c r="A12" s="78"/>
      <c r="C12" s="120"/>
      <c r="D12" s="120"/>
      <c r="E12" s="120"/>
      <c r="F12" s="18">
        <v>1</v>
      </c>
      <c r="G12" s="18">
        <v>2</v>
      </c>
      <c r="H12" s="18">
        <v>3</v>
      </c>
      <c r="I12" s="18">
        <v>4</v>
      </c>
      <c r="J12" s="18">
        <v>5</v>
      </c>
      <c r="K12" s="18">
        <v>6</v>
      </c>
      <c r="L12" s="18">
        <v>7</v>
      </c>
      <c r="M12" s="18">
        <v>8</v>
      </c>
      <c r="N12" s="18">
        <v>9</v>
      </c>
      <c r="O12" s="18">
        <v>10</v>
      </c>
      <c r="P12" s="18">
        <v>11</v>
      </c>
      <c r="Q12" s="18">
        <v>12</v>
      </c>
      <c r="R12" s="18">
        <v>13</v>
      </c>
      <c r="S12" s="18">
        <v>14</v>
      </c>
      <c r="T12" s="18">
        <v>15</v>
      </c>
      <c r="U12" s="18">
        <v>16</v>
      </c>
      <c r="V12" s="18">
        <v>17</v>
      </c>
      <c r="W12" s="18">
        <v>18</v>
      </c>
      <c r="X12" s="18">
        <v>19</v>
      </c>
      <c r="Y12" s="18">
        <v>20</v>
      </c>
      <c r="Z12" s="18">
        <v>21</v>
      </c>
      <c r="AA12" s="18">
        <v>22</v>
      </c>
      <c r="AB12" s="18">
        <v>23</v>
      </c>
      <c r="AC12" s="18">
        <v>24</v>
      </c>
      <c r="AD12" s="18">
        <v>25</v>
      </c>
      <c r="AE12" s="18">
        <v>26</v>
      </c>
      <c r="AF12" s="18">
        <v>27</v>
      </c>
      <c r="AG12" s="18">
        <v>28</v>
      </c>
      <c r="AH12" s="18">
        <v>29</v>
      </c>
      <c r="AI12" s="18"/>
      <c r="AJ12" s="18"/>
      <c r="AK12" s="119"/>
      <c r="AL12" s="18">
        <v>1</v>
      </c>
      <c r="AM12" s="18">
        <v>2</v>
      </c>
      <c r="AN12" s="18">
        <v>3</v>
      </c>
      <c r="AO12" s="18">
        <v>4</v>
      </c>
      <c r="AP12" s="18">
        <v>5</v>
      </c>
      <c r="AQ12" s="18">
        <v>6</v>
      </c>
      <c r="AR12" s="18">
        <v>7</v>
      </c>
      <c r="AS12" s="18">
        <v>8</v>
      </c>
      <c r="AT12" s="18">
        <v>9</v>
      </c>
      <c r="AU12" s="18">
        <v>10</v>
      </c>
      <c r="AV12" s="18">
        <v>11</v>
      </c>
      <c r="AW12" s="18">
        <v>12</v>
      </c>
      <c r="AX12" s="18">
        <v>13</v>
      </c>
      <c r="AY12" s="18">
        <v>14</v>
      </c>
      <c r="AZ12" s="18">
        <v>15</v>
      </c>
      <c r="BA12" s="18">
        <v>16</v>
      </c>
      <c r="BB12" s="18">
        <v>17</v>
      </c>
      <c r="BC12" s="18">
        <v>18</v>
      </c>
      <c r="BD12" s="18">
        <v>19</v>
      </c>
      <c r="BE12" s="18">
        <v>20</v>
      </c>
      <c r="BF12" s="18">
        <v>21</v>
      </c>
      <c r="BG12" s="18">
        <v>22</v>
      </c>
      <c r="BH12" s="18">
        <v>23</v>
      </c>
      <c r="BI12" s="18">
        <v>24</v>
      </c>
      <c r="BJ12" s="18">
        <v>25</v>
      </c>
      <c r="BK12" s="18">
        <v>26</v>
      </c>
      <c r="BL12" s="18">
        <v>27</v>
      </c>
      <c r="BM12" s="18">
        <v>28</v>
      </c>
      <c r="BN12" s="18">
        <v>29</v>
      </c>
      <c r="BO12" s="18"/>
      <c r="BP12" s="18"/>
      <c r="BQ12" s="119"/>
      <c r="BR12" s="123"/>
      <c r="BS12" s="123"/>
      <c r="BT12" s="119"/>
      <c r="BU12" s="120"/>
      <c r="BW12" s="78"/>
      <c r="BX12" s="78"/>
      <c r="BY12" s="78"/>
    </row>
    <row r="13" spans="1:77" ht="25.8" x14ac:dyDescent="0.3">
      <c r="A13" s="78"/>
      <c r="C13" s="120"/>
      <c r="D13" s="120"/>
      <c r="E13" s="120"/>
      <c r="F13" s="38">
        <f>WEEKDAY($D$1+F12)</f>
        <v>2</v>
      </c>
      <c r="G13" s="38">
        <f t="shared" ref="G13:AG13" si="0">WEEKDAY($D$1+G12)</f>
        <v>3</v>
      </c>
      <c r="H13" s="38">
        <f t="shared" si="0"/>
        <v>4</v>
      </c>
      <c r="I13" s="38">
        <f t="shared" si="0"/>
        <v>5</v>
      </c>
      <c r="J13" s="38">
        <f t="shared" si="0"/>
        <v>6</v>
      </c>
      <c r="K13" s="38">
        <f t="shared" si="0"/>
        <v>7</v>
      </c>
      <c r="L13" s="38">
        <f t="shared" si="0"/>
        <v>1</v>
      </c>
      <c r="M13" s="38">
        <f t="shared" si="0"/>
        <v>2</v>
      </c>
      <c r="N13" s="38">
        <f t="shared" si="0"/>
        <v>3</v>
      </c>
      <c r="O13" s="38">
        <f t="shared" si="0"/>
        <v>4</v>
      </c>
      <c r="P13" s="38">
        <f t="shared" si="0"/>
        <v>5</v>
      </c>
      <c r="Q13" s="38">
        <f t="shared" si="0"/>
        <v>6</v>
      </c>
      <c r="R13" s="38">
        <f t="shared" si="0"/>
        <v>7</v>
      </c>
      <c r="S13" s="38">
        <f t="shared" si="0"/>
        <v>1</v>
      </c>
      <c r="T13" s="38">
        <f t="shared" si="0"/>
        <v>2</v>
      </c>
      <c r="U13" s="38">
        <f t="shared" si="0"/>
        <v>3</v>
      </c>
      <c r="V13" s="38">
        <f t="shared" si="0"/>
        <v>4</v>
      </c>
      <c r="W13" s="38">
        <f t="shared" si="0"/>
        <v>5</v>
      </c>
      <c r="X13" s="38">
        <f t="shared" si="0"/>
        <v>6</v>
      </c>
      <c r="Y13" s="38">
        <f t="shared" si="0"/>
        <v>7</v>
      </c>
      <c r="Z13" s="38">
        <f t="shared" si="0"/>
        <v>1</v>
      </c>
      <c r="AA13" s="38">
        <f t="shared" si="0"/>
        <v>2</v>
      </c>
      <c r="AB13" s="38">
        <f t="shared" si="0"/>
        <v>3</v>
      </c>
      <c r="AC13" s="38">
        <f t="shared" si="0"/>
        <v>4</v>
      </c>
      <c r="AD13" s="38">
        <f t="shared" si="0"/>
        <v>5</v>
      </c>
      <c r="AE13" s="38">
        <f t="shared" si="0"/>
        <v>6</v>
      </c>
      <c r="AF13" s="38">
        <f t="shared" si="0"/>
        <v>7</v>
      </c>
      <c r="AG13" s="38">
        <f t="shared" si="0"/>
        <v>1</v>
      </c>
      <c r="AH13" s="38"/>
      <c r="AI13" s="38"/>
      <c r="AJ13" s="38"/>
      <c r="AK13" s="119"/>
      <c r="AL13" s="38">
        <f>WEEKDAY($D$1+AL12)</f>
        <v>2</v>
      </c>
      <c r="AM13" s="38">
        <f t="shared" ref="AM13:BM13" si="1">WEEKDAY($D$1+AM12)</f>
        <v>3</v>
      </c>
      <c r="AN13" s="38">
        <f t="shared" si="1"/>
        <v>4</v>
      </c>
      <c r="AO13" s="38">
        <f t="shared" si="1"/>
        <v>5</v>
      </c>
      <c r="AP13" s="38">
        <f t="shared" si="1"/>
        <v>6</v>
      </c>
      <c r="AQ13" s="38">
        <f t="shared" si="1"/>
        <v>7</v>
      </c>
      <c r="AR13" s="38">
        <f t="shared" si="1"/>
        <v>1</v>
      </c>
      <c r="AS13" s="38">
        <f t="shared" si="1"/>
        <v>2</v>
      </c>
      <c r="AT13" s="38">
        <f t="shared" si="1"/>
        <v>3</v>
      </c>
      <c r="AU13" s="38">
        <f t="shared" si="1"/>
        <v>4</v>
      </c>
      <c r="AV13" s="38">
        <f t="shared" si="1"/>
        <v>5</v>
      </c>
      <c r="AW13" s="38">
        <f t="shared" si="1"/>
        <v>6</v>
      </c>
      <c r="AX13" s="38">
        <f t="shared" si="1"/>
        <v>7</v>
      </c>
      <c r="AY13" s="38">
        <f t="shared" si="1"/>
        <v>1</v>
      </c>
      <c r="AZ13" s="38">
        <f t="shared" si="1"/>
        <v>2</v>
      </c>
      <c r="BA13" s="38">
        <f t="shared" si="1"/>
        <v>3</v>
      </c>
      <c r="BB13" s="38">
        <f t="shared" si="1"/>
        <v>4</v>
      </c>
      <c r="BC13" s="38">
        <f t="shared" si="1"/>
        <v>5</v>
      </c>
      <c r="BD13" s="38">
        <f t="shared" si="1"/>
        <v>6</v>
      </c>
      <c r="BE13" s="38">
        <f t="shared" si="1"/>
        <v>7</v>
      </c>
      <c r="BF13" s="38">
        <f t="shared" si="1"/>
        <v>1</v>
      </c>
      <c r="BG13" s="38">
        <f t="shared" si="1"/>
        <v>2</v>
      </c>
      <c r="BH13" s="38">
        <f t="shared" si="1"/>
        <v>3</v>
      </c>
      <c r="BI13" s="38">
        <f t="shared" si="1"/>
        <v>4</v>
      </c>
      <c r="BJ13" s="38">
        <f t="shared" si="1"/>
        <v>5</v>
      </c>
      <c r="BK13" s="38">
        <f t="shared" si="1"/>
        <v>6</v>
      </c>
      <c r="BL13" s="38">
        <f t="shared" si="1"/>
        <v>7</v>
      </c>
      <c r="BM13" s="38">
        <f t="shared" si="1"/>
        <v>1</v>
      </c>
      <c r="BN13" s="38"/>
      <c r="BO13" s="38"/>
      <c r="BP13" s="38"/>
      <c r="BQ13" s="119"/>
      <c r="BR13" s="124"/>
      <c r="BS13" s="124"/>
      <c r="BT13" s="119"/>
      <c r="BU13" s="120"/>
      <c r="BW13" s="78"/>
      <c r="BX13" s="78"/>
      <c r="BY13" s="78"/>
    </row>
    <row r="14" spans="1:77" x14ac:dyDescent="0.3">
      <c r="A14" s="78"/>
      <c r="C14" s="4">
        <v>1</v>
      </c>
      <c r="D14" s="5" t="str">
        <f>IF(VLOOKUP(C14,DSNV!$C$8:$N$48,3,FALSE)=0,"",VLOOKUP(C14,DSNV!$C$8:$N$48,3,FALSE))</f>
        <v>Nguyễn Võ Như Bình</v>
      </c>
      <c r="E14" s="4" t="str">
        <f>IF(VLOOKUP(C14,DSNV!$C$8:$N$48,8,FALSE)="","",VLOOKUP(C14,DSNV!$C$8:$N$48,8,FALSE))</f>
        <v>Thành viên</v>
      </c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>
        <f>SUM(F14:AJ14)</f>
        <v>0</v>
      </c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>
        <f>SUM(AL14:BP14)</f>
        <v>0</v>
      </c>
      <c r="BR14" s="4"/>
      <c r="BS14" s="4"/>
      <c r="BT14" s="45">
        <f>SUM(AK14,BQ14:BS14)</f>
        <v>0</v>
      </c>
      <c r="BU14" s="5"/>
      <c r="BW14" s="78"/>
      <c r="BX14" s="78"/>
      <c r="BY14" s="78"/>
    </row>
    <row r="15" spans="1:77" x14ac:dyDescent="0.3">
      <c r="A15" s="78"/>
      <c r="C15" s="6">
        <v>2</v>
      </c>
      <c r="D15" s="5" t="str">
        <f>IF(VLOOKUP(C15,DSNV!$C$8:$N$48,3,FALSE)=0,"",VLOOKUP(C15,DSNV!$C$8:$N$48,3,FALSE))</f>
        <v>Võ Khánh Đoan</v>
      </c>
      <c r="E15" s="4" t="str">
        <f>IF(VLOOKUP(C15,DSNV!$C$8:$N$48,8,FALSE)="","",VLOOKUP(C15,DSNV!$C$8:$N$48,8,FALSE))</f>
        <v>Thành viên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4">
        <f t="shared" ref="AK15:AK53" si="2">SUM(F15:AJ15)</f>
        <v>0</v>
      </c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4">
        <f t="shared" ref="BQ15:BQ53" si="3">SUM(AL15:BP15)</f>
        <v>0</v>
      </c>
      <c r="BR15" s="4"/>
      <c r="BS15" s="4"/>
      <c r="BT15" s="45">
        <f t="shared" ref="BT15:BT53" si="4">SUM(AK15,BQ15:BS15)</f>
        <v>0</v>
      </c>
      <c r="BU15" s="7"/>
      <c r="BW15" s="78"/>
      <c r="BX15" s="78"/>
      <c r="BY15" s="78"/>
    </row>
    <row r="16" spans="1:77" x14ac:dyDescent="0.3">
      <c r="A16" s="78"/>
      <c r="C16" s="6">
        <v>3</v>
      </c>
      <c r="D16" s="5" t="str">
        <f>IF(VLOOKUP(C16,DSNV!$C$8:$N$48,3,FALSE)=0,"",VLOOKUP(C16,DSNV!$C$8:$N$48,3,FALSE))</f>
        <v>Nguyễn Thu Hà</v>
      </c>
      <c r="E16" s="4" t="str">
        <f>IF(VLOOKUP(C16,DSNV!$C$8:$N$48,8,FALSE)="","",VLOOKUP(C16,DSNV!$C$8:$N$48,8,FALSE))</f>
        <v>Thành viên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4">
        <f t="shared" si="2"/>
        <v>0</v>
      </c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4">
        <f t="shared" si="3"/>
        <v>0</v>
      </c>
      <c r="BR16" s="4"/>
      <c r="BS16" s="4"/>
      <c r="BT16" s="45">
        <f t="shared" si="4"/>
        <v>0</v>
      </c>
      <c r="BU16" s="7"/>
      <c r="BW16" s="78"/>
      <c r="BX16" s="78"/>
      <c r="BY16" s="78"/>
    </row>
    <row r="17" spans="1:77" x14ac:dyDescent="0.3">
      <c r="A17" s="78"/>
      <c r="C17" s="6">
        <v>4</v>
      </c>
      <c r="D17" s="5" t="str">
        <f>IF(VLOOKUP(C17,DSNV!$C$8:$N$48,3,FALSE)=0,"",VLOOKUP(C17,DSNV!$C$8:$N$48,3,FALSE))</f>
        <v>Trương Thị Phú Hiệp</v>
      </c>
      <c r="E17" s="4" t="str">
        <f>IF(VLOOKUP(C17,DSNV!$C$8:$N$48,8,FALSE)="","",VLOOKUP(C17,DSNV!$C$8:$N$48,8,FALSE))</f>
        <v>Thành viên</v>
      </c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4">
        <f t="shared" si="2"/>
        <v>0</v>
      </c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4">
        <f t="shared" si="3"/>
        <v>0</v>
      </c>
      <c r="BR17" s="4"/>
      <c r="BS17" s="4"/>
      <c r="BT17" s="45">
        <f t="shared" si="4"/>
        <v>0</v>
      </c>
      <c r="BU17" s="7"/>
      <c r="BW17" s="78"/>
      <c r="BX17" s="78"/>
      <c r="BY17" s="78"/>
    </row>
    <row r="18" spans="1:77" x14ac:dyDescent="0.3">
      <c r="A18" s="78"/>
      <c r="C18" s="6">
        <v>5</v>
      </c>
      <c r="D18" s="5" t="str">
        <f>IF(VLOOKUP(C18,DSNV!$C$8:$N$48,3,FALSE)=0,"",VLOOKUP(C18,DSNV!$C$8:$N$48,3,FALSE))</f>
        <v>Nguyễn Thị Bích Hồng</v>
      </c>
      <c r="E18" s="4" t="str">
        <f>IF(VLOOKUP(C18,DSNV!$C$8:$N$48,8,FALSE)="","",VLOOKUP(C18,DSNV!$C$8:$N$48,8,FALSE))</f>
        <v>Thành viên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4">
        <f t="shared" si="2"/>
        <v>0</v>
      </c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4">
        <f t="shared" si="3"/>
        <v>0</v>
      </c>
      <c r="BR18" s="4"/>
      <c r="BS18" s="4"/>
      <c r="BT18" s="45">
        <f t="shared" si="4"/>
        <v>0</v>
      </c>
      <c r="BU18" s="7"/>
      <c r="BW18" s="78"/>
      <c r="BX18" s="78"/>
      <c r="BY18" s="78"/>
    </row>
    <row r="19" spans="1:77" x14ac:dyDescent="0.3">
      <c r="A19" s="78"/>
      <c r="C19" s="6">
        <v>6</v>
      </c>
      <c r="D19" s="5" t="str">
        <f>IF(VLOOKUP(C19,DSNV!$C$8:$N$48,3,FALSE)=0,"",VLOOKUP(C19,DSNV!$C$8:$N$48,3,FALSE))</f>
        <v>Phạm Thị Ngọc Hồng</v>
      </c>
      <c r="E19" s="4" t="str">
        <f>IF(VLOOKUP(C19,DSNV!$C$8:$N$48,8,FALSE)="","",VLOOKUP(C19,DSNV!$C$8:$N$48,8,FALSE))</f>
        <v>Thành viên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4">
        <f t="shared" si="2"/>
        <v>0</v>
      </c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4">
        <f t="shared" si="3"/>
        <v>0</v>
      </c>
      <c r="BR19" s="4">
        <f>BQ19/2</f>
        <v>0</v>
      </c>
      <c r="BS19" s="4"/>
      <c r="BT19" s="45">
        <f t="shared" si="4"/>
        <v>0</v>
      </c>
      <c r="BU19" s="7"/>
      <c r="BW19" s="78"/>
      <c r="BX19" s="78"/>
      <c r="BY19" s="78"/>
    </row>
    <row r="20" spans="1:77" x14ac:dyDescent="0.3">
      <c r="A20" s="78"/>
      <c r="C20" s="6">
        <v>7</v>
      </c>
      <c r="D20" s="5" t="str">
        <f>IF(VLOOKUP(C20,DSNV!$C$8:$N$48,3,FALSE)=0,"",VLOOKUP(C20,DSNV!$C$8:$N$48,3,FALSE))</f>
        <v>Phạm Thị Huệ</v>
      </c>
      <c r="E20" s="4" t="str">
        <f>IF(VLOOKUP(C20,DSNV!$C$8:$N$48,8,FALSE)="","",VLOOKUP(C20,DSNV!$C$8:$N$48,8,FALSE))</f>
        <v>Trưởng ban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4">
        <f t="shared" si="2"/>
        <v>0</v>
      </c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4">
        <f t="shared" si="3"/>
        <v>0</v>
      </c>
      <c r="BR20" s="4">
        <f t="shared" ref="BR20:BR21" si="5">BQ20/2</f>
        <v>0</v>
      </c>
      <c r="BS20" s="4"/>
      <c r="BT20" s="45">
        <f t="shared" si="4"/>
        <v>0</v>
      </c>
      <c r="BU20" s="7" t="s">
        <v>166</v>
      </c>
      <c r="BW20" s="78"/>
      <c r="BX20" s="78"/>
      <c r="BY20" s="78"/>
    </row>
    <row r="21" spans="1:77" x14ac:dyDescent="0.3">
      <c r="A21" s="78"/>
      <c r="C21" s="6">
        <v>8</v>
      </c>
      <c r="D21" s="5" t="str">
        <f>IF(VLOOKUP(C21,DSNV!$C$8:$N$48,3,FALSE)=0,"",VLOOKUP(C21,DSNV!$C$8:$N$48,3,FALSE))</f>
        <v>Nguyễn Thị Quỳnh Hương</v>
      </c>
      <c r="E21" s="4" t="str">
        <f>IF(VLOOKUP(C21,DSNV!$C$8:$N$48,8,FALSE)="","",VLOOKUP(C21,DSNV!$C$8:$N$48,8,FALSE))</f>
        <v>Trưởng ban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4">
        <f t="shared" si="2"/>
        <v>0</v>
      </c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4">
        <f t="shared" si="3"/>
        <v>0</v>
      </c>
      <c r="BR21" s="4">
        <f t="shared" si="5"/>
        <v>0</v>
      </c>
      <c r="BS21" s="4"/>
      <c r="BT21" s="45">
        <f t="shared" si="4"/>
        <v>0</v>
      </c>
      <c r="BU21" s="7"/>
      <c r="BW21" s="78"/>
      <c r="BX21" s="78"/>
      <c r="BY21" s="78"/>
    </row>
    <row r="22" spans="1:77" x14ac:dyDescent="0.3">
      <c r="A22" s="78"/>
      <c r="C22" s="6">
        <v>9</v>
      </c>
      <c r="D22" s="5" t="str">
        <f>IF(VLOOKUP(C22,DSNV!$C$8:$N$48,3,FALSE)=0,"",VLOOKUP(C22,DSNV!$C$8:$N$48,3,FALSE))</f>
        <v>Huỳnh Thanh Huyên</v>
      </c>
      <c r="E22" s="4" t="str">
        <f>IF(VLOOKUP(C22,DSNV!$C$8:$N$48,8,FALSE)="","",VLOOKUP(C22,DSNV!$C$8:$N$48,8,FALSE))</f>
        <v>Thành viên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4">
        <f t="shared" si="2"/>
        <v>0</v>
      </c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4">
        <f t="shared" si="3"/>
        <v>0</v>
      </c>
      <c r="BR22" s="4"/>
      <c r="BS22" s="4"/>
      <c r="BT22" s="45">
        <f t="shared" si="4"/>
        <v>0</v>
      </c>
      <c r="BU22" s="7"/>
      <c r="BW22" s="78"/>
      <c r="BX22" s="78"/>
      <c r="BY22" s="78"/>
    </row>
    <row r="23" spans="1:77" x14ac:dyDescent="0.3">
      <c r="A23" s="78"/>
      <c r="C23" s="6">
        <v>10</v>
      </c>
      <c r="D23" s="5" t="str">
        <f>IF(VLOOKUP(C23,DSNV!$C$8:$N$48,3,FALSE)=0,"",VLOOKUP(C23,DSNV!$C$8:$N$48,3,FALSE))</f>
        <v>Lê Hữu Di Mi</v>
      </c>
      <c r="E23" s="4" t="str">
        <f>IF(VLOOKUP(C23,DSNV!$C$8:$N$48,8,FALSE)="","",VLOOKUP(C23,DSNV!$C$8:$N$48,8,FALSE))</f>
        <v>Thành viên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4">
        <f t="shared" si="2"/>
        <v>0</v>
      </c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4">
        <f t="shared" si="3"/>
        <v>0</v>
      </c>
      <c r="BR23" s="4"/>
      <c r="BS23" s="4"/>
      <c r="BT23" s="45">
        <f t="shared" si="4"/>
        <v>0</v>
      </c>
      <c r="BU23" s="7"/>
      <c r="BW23" s="78"/>
      <c r="BX23" s="78"/>
      <c r="BY23" s="78"/>
    </row>
    <row r="24" spans="1:77" x14ac:dyDescent="0.3">
      <c r="A24" s="78"/>
      <c r="C24" s="6">
        <v>11</v>
      </c>
      <c r="D24" s="5" t="str">
        <f>IF(VLOOKUP(C24,DSNV!$C$8:$N$48,3,FALSE)=0,"",VLOOKUP(C24,DSNV!$C$8:$N$48,3,FALSE))</f>
        <v>Nguyễn Nhựt Minh</v>
      </c>
      <c r="E24" s="4" t="str">
        <f>IF(VLOOKUP(C24,DSNV!$C$8:$N$48,8,FALSE)="","",VLOOKUP(C24,DSNV!$C$8:$N$48,8,FALSE))</f>
        <v>Trưởng ban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4">
        <f t="shared" si="2"/>
        <v>0</v>
      </c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4">
        <f t="shared" si="3"/>
        <v>0</v>
      </c>
      <c r="BR24" s="4">
        <f>BQ24/2</f>
        <v>0</v>
      </c>
      <c r="BS24" s="4"/>
      <c r="BT24" s="45">
        <f t="shared" si="4"/>
        <v>0</v>
      </c>
      <c r="BU24" s="7"/>
      <c r="BW24" s="78"/>
      <c r="BX24" s="78"/>
      <c r="BY24" s="78"/>
    </row>
    <row r="25" spans="1:77" x14ac:dyDescent="0.3">
      <c r="A25" s="78"/>
      <c r="C25" s="6">
        <v>12</v>
      </c>
      <c r="D25" s="5" t="str">
        <f>IF(VLOOKUP(C25,DSNV!$C$8:$N$48,3,FALSE)=0,"",VLOOKUP(C25,DSNV!$C$8:$N$48,3,FALSE))</f>
        <v>Lê Thảo Nguyên</v>
      </c>
      <c r="E25" s="4" t="str">
        <f>IF(VLOOKUP(C25,DSNV!$C$8:$N$48,8,FALSE)="","",VLOOKUP(C25,DSNV!$C$8:$N$48,8,FALSE))</f>
        <v>Thành viên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4">
        <f t="shared" si="2"/>
        <v>0</v>
      </c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4">
        <f t="shared" si="3"/>
        <v>0</v>
      </c>
      <c r="BR25" s="4">
        <f>BQ25/2</f>
        <v>0</v>
      </c>
      <c r="BS25" s="4"/>
      <c r="BT25" s="45">
        <f t="shared" si="4"/>
        <v>0</v>
      </c>
      <c r="BU25" s="7"/>
      <c r="BW25" s="78"/>
      <c r="BX25" s="78"/>
      <c r="BY25" s="78"/>
    </row>
    <row r="26" spans="1:77" x14ac:dyDescent="0.3">
      <c r="A26" s="78"/>
      <c r="C26" s="6">
        <v>13</v>
      </c>
      <c r="D26" s="5" t="str">
        <f>IF(VLOOKUP(C26,DSNV!$C$8:$N$48,3,FALSE)=0,"",VLOOKUP(C26,DSNV!$C$8:$N$48,3,FALSE))</f>
        <v>Võ Thị Xuân Nữ</v>
      </c>
      <c r="E26" s="4" t="str">
        <f>IF(VLOOKUP(C26,DSNV!$C$8:$N$48,8,FALSE)="","",VLOOKUP(C26,DSNV!$C$8:$N$48,8,FALSE))</f>
        <v>Thành viên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4">
        <f t="shared" si="2"/>
        <v>0</v>
      </c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4">
        <f t="shared" si="3"/>
        <v>0</v>
      </c>
      <c r="BR26" s="4"/>
      <c r="BS26" s="4"/>
      <c r="BT26" s="45">
        <f t="shared" si="4"/>
        <v>0</v>
      </c>
      <c r="BU26" s="7"/>
      <c r="BW26" s="78"/>
      <c r="BX26" s="78"/>
      <c r="BY26" s="78"/>
    </row>
    <row r="27" spans="1:77" x14ac:dyDescent="0.3">
      <c r="A27" s="78"/>
      <c r="C27" s="6">
        <v>14</v>
      </c>
      <c r="D27" s="5" t="str">
        <f>IF(VLOOKUP(C27,DSNV!$C$8:$N$48,3,FALSE)=0,"",VLOOKUP(C27,DSNV!$C$8:$N$48,3,FALSE))</f>
        <v>Đỗ Thị Lan Phương</v>
      </c>
      <c r="E27" s="4" t="str">
        <f>IF(VLOOKUP(C27,DSNV!$C$8:$N$48,8,FALSE)="","",VLOOKUP(C27,DSNV!$C$8:$N$48,8,FALSE))</f>
        <v>Thành viên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4">
        <f t="shared" si="2"/>
        <v>0</v>
      </c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4">
        <f t="shared" si="3"/>
        <v>0</v>
      </c>
      <c r="BR27" s="4"/>
      <c r="BS27" s="4"/>
      <c r="BT27" s="45">
        <f t="shared" si="4"/>
        <v>0</v>
      </c>
      <c r="BU27" s="7"/>
      <c r="BW27" s="78"/>
      <c r="BX27" s="78"/>
      <c r="BY27" s="78"/>
    </row>
    <row r="28" spans="1:77" x14ac:dyDescent="0.3">
      <c r="A28" s="78"/>
      <c r="C28" s="6">
        <v>15</v>
      </c>
      <c r="D28" s="5" t="str">
        <f>IF(VLOOKUP(C28,DSNV!$C$8:$N$48,3,FALSE)=0,"",VLOOKUP(C28,DSNV!$C$8:$N$48,3,FALSE))</f>
        <v>Nguyễn Thị Nhã Quyên</v>
      </c>
      <c r="E28" s="4" t="str">
        <f>IF(VLOOKUP(C28,DSNV!$C$8:$N$48,8,FALSE)="","",VLOOKUP(C28,DSNV!$C$8:$N$48,8,FALSE))</f>
        <v>Thành viên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4">
        <f t="shared" si="2"/>
        <v>0</v>
      </c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4">
        <f t="shared" si="3"/>
        <v>0</v>
      </c>
      <c r="BR28" s="4">
        <f t="shared" ref="BR28:BR33" si="6">BQ28/2</f>
        <v>0</v>
      </c>
      <c r="BS28" s="4"/>
      <c r="BT28" s="45">
        <f t="shared" si="4"/>
        <v>0</v>
      </c>
      <c r="BU28" s="7"/>
      <c r="BW28" s="78"/>
      <c r="BX28" s="78"/>
      <c r="BY28" s="78"/>
    </row>
    <row r="29" spans="1:77" x14ac:dyDescent="0.3">
      <c r="A29" s="78"/>
      <c r="C29" s="6">
        <v>16</v>
      </c>
      <c r="D29" s="5" t="str">
        <f>IF(VLOOKUP(C29,DSNV!$C$8:$N$48,3,FALSE)=0,"",VLOOKUP(C29,DSNV!$C$8:$N$48,3,FALSE))</f>
        <v>Nguyễn Đức Vĩnh Thắng</v>
      </c>
      <c r="E29" s="4" t="str">
        <f>IF(VLOOKUP(C29,DSNV!$C$8:$N$48,8,FALSE)="","",VLOOKUP(C29,DSNV!$C$8:$N$48,8,FALSE))</f>
        <v>Trưởng ban</v>
      </c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4">
        <f t="shared" si="2"/>
        <v>0</v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4">
        <f t="shared" si="3"/>
        <v>0</v>
      </c>
      <c r="BR29" s="4">
        <f t="shared" si="6"/>
        <v>0</v>
      </c>
      <c r="BS29" s="4"/>
      <c r="BT29" s="45">
        <f t="shared" si="4"/>
        <v>0</v>
      </c>
      <c r="BU29" s="7"/>
      <c r="BW29" s="78"/>
      <c r="BX29" s="78"/>
      <c r="BY29" s="78"/>
    </row>
    <row r="30" spans="1:77" x14ac:dyDescent="0.3">
      <c r="A30" s="78"/>
      <c r="C30" s="6">
        <v>17</v>
      </c>
      <c r="D30" s="5" t="str">
        <f>IF(VLOOKUP(C30,DSNV!$C$8:$N$48,3,FALSE)=0,"",VLOOKUP(C30,DSNV!$C$8:$N$48,3,FALSE))</f>
        <v>Nguyễn Thành Tiến</v>
      </c>
      <c r="E30" s="4" t="str">
        <f>IF(VLOOKUP(C30,DSNV!$C$8:$N$48,8,FALSE)="","",VLOOKUP(C30,DSNV!$C$8:$N$48,8,FALSE))</f>
        <v>Thành viên</v>
      </c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4">
        <f t="shared" si="2"/>
        <v>0</v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4">
        <f t="shared" si="3"/>
        <v>0</v>
      </c>
      <c r="BR30" s="4">
        <f t="shared" si="6"/>
        <v>0</v>
      </c>
      <c r="BS30" s="4"/>
      <c r="BT30" s="45">
        <f t="shared" si="4"/>
        <v>0</v>
      </c>
      <c r="BU30" s="7"/>
      <c r="BW30" s="78"/>
      <c r="BX30" s="78"/>
      <c r="BY30" s="78"/>
    </row>
    <row r="31" spans="1:77" x14ac:dyDescent="0.3">
      <c r="A31" s="78"/>
      <c r="C31" s="6">
        <v>18</v>
      </c>
      <c r="D31" s="5" t="str">
        <f>IF(VLOOKUP(C31,DSNV!$C$8:$N$48,3,FALSE)=0,"",VLOOKUP(C31,DSNV!$C$8:$N$48,3,FALSE))</f>
        <v>Trần Thị Trúc</v>
      </c>
      <c r="E31" s="4" t="str">
        <f>IF(VLOOKUP(C31,DSNV!$C$8:$N$48,8,FALSE)="","",VLOOKUP(C31,DSNV!$C$8:$N$48,8,FALSE))</f>
        <v>Thành viên</v>
      </c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4">
        <f t="shared" si="2"/>
        <v>0</v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4">
        <f t="shared" si="3"/>
        <v>0</v>
      </c>
      <c r="BR31" s="4">
        <f t="shared" si="6"/>
        <v>0</v>
      </c>
      <c r="BS31" s="4"/>
      <c r="BT31" s="45">
        <f t="shared" si="4"/>
        <v>0</v>
      </c>
      <c r="BU31" s="7"/>
      <c r="BW31" s="78"/>
      <c r="BX31" s="78"/>
      <c r="BY31" s="78"/>
    </row>
    <row r="32" spans="1:77" x14ac:dyDescent="0.3">
      <c r="A32" s="78"/>
      <c r="C32" s="6">
        <v>19</v>
      </c>
      <c r="D32" s="5" t="str">
        <f>IF(VLOOKUP(C32,DSNV!$C$8:$N$48,3,FALSE)=0,"",VLOOKUP(C32,DSNV!$C$8:$N$48,3,FALSE))</f>
        <v>Bùi Hoàng Trung</v>
      </c>
      <c r="E32" s="4" t="str">
        <f>IF(VLOOKUP(C32,DSNV!$C$8:$N$48,8,FALSE)="","",VLOOKUP(C32,DSNV!$C$8:$N$48,8,FALSE))</f>
        <v>Thành viên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4">
        <f t="shared" si="2"/>
        <v>0</v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4">
        <f t="shared" si="3"/>
        <v>0</v>
      </c>
      <c r="BR32" s="4">
        <f t="shared" si="6"/>
        <v>0</v>
      </c>
      <c r="BS32" s="4"/>
      <c r="BT32" s="45">
        <f t="shared" si="4"/>
        <v>0</v>
      </c>
      <c r="BU32" s="7"/>
      <c r="BW32" s="78"/>
      <c r="BX32" s="78"/>
      <c r="BY32" s="78"/>
    </row>
    <row r="33" spans="1:77" ht="15" thickBot="1" x14ac:dyDescent="0.35">
      <c r="A33" s="78"/>
      <c r="C33" s="6">
        <v>20</v>
      </c>
      <c r="D33" s="5" t="str">
        <f>IF(VLOOKUP(C33,DSNV!$C$8:$N$48,3,FALSE)=0,"",VLOOKUP(C33,DSNV!$C$8:$N$48,3,FALSE))</f>
        <v>Ngô Trúc Tường Vy</v>
      </c>
      <c r="E33" s="4" t="str">
        <f>IF(VLOOKUP(C33,DSNV!$C$8:$N$48,8,FALSE)="","",VLOOKUP(C33,DSNV!$C$8:$N$48,8,FALSE))</f>
        <v>Trưởng ban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4">
        <f t="shared" si="2"/>
        <v>0</v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4">
        <f t="shared" si="3"/>
        <v>0</v>
      </c>
      <c r="BR33" s="4">
        <f t="shared" si="6"/>
        <v>0</v>
      </c>
      <c r="BS33" s="4"/>
      <c r="BT33" s="45">
        <f t="shared" si="4"/>
        <v>0</v>
      </c>
      <c r="BU33" s="7"/>
      <c r="BW33" s="78"/>
      <c r="BX33" s="78"/>
      <c r="BY33" s="78"/>
    </row>
    <row r="34" spans="1:77" ht="15" hidden="1" thickBot="1" x14ac:dyDescent="0.35">
      <c r="A34" s="78"/>
      <c r="C34" s="6">
        <v>21</v>
      </c>
      <c r="D34" s="5" t="str">
        <f>IF(VLOOKUP(C34,DSNV!$C$8:$N$48,3,FALSE)=0,"",VLOOKUP(C34,DSNV!$C$8:$N$48,3,FALSE))</f>
        <v/>
      </c>
      <c r="E34" s="4" t="str">
        <f>IF(VLOOKUP(C34,DSNV!$C$8:$N$48,8,FALSE)="","",VLOOKUP(C34,DSNV!$C$8:$N$48,8,FALSE))</f>
        <v/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4">
        <f t="shared" si="2"/>
        <v>0</v>
      </c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4">
        <f t="shared" si="3"/>
        <v>0</v>
      </c>
      <c r="BR34" s="4"/>
      <c r="BS34" s="4"/>
      <c r="BT34" s="45">
        <f t="shared" si="4"/>
        <v>0</v>
      </c>
      <c r="BU34" s="7"/>
      <c r="BW34" s="78"/>
      <c r="BX34" s="78"/>
      <c r="BY34" s="78"/>
    </row>
    <row r="35" spans="1:77" ht="15" hidden="1" thickBot="1" x14ac:dyDescent="0.35">
      <c r="A35" s="78"/>
      <c r="C35" s="6">
        <v>22</v>
      </c>
      <c r="D35" s="5" t="str">
        <f>IF(VLOOKUP(C35,DSNV!$C$8:$N$48,3,FALSE)=0,"",VLOOKUP(C35,DSNV!$C$8:$N$48,3,FALSE))</f>
        <v/>
      </c>
      <c r="E35" s="4" t="str">
        <f>IF(VLOOKUP(C35,DSNV!$C$8:$N$48,8,FALSE)="","",VLOOKUP(C35,DSNV!$C$8:$N$48,8,FALSE))</f>
        <v/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4">
        <f t="shared" si="2"/>
        <v>0</v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4">
        <f t="shared" si="3"/>
        <v>0</v>
      </c>
      <c r="BR35" s="4"/>
      <c r="BS35" s="4"/>
      <c r="BT35" s="45">
        <f t="shared" si="4"/>
        <v>0</v>
      </c>
      <c r="BU35" s="7"/>
      <c r="BW35" s="78"/>
      <c r="BX35" s="78"/>
      <c r="BY35" s="78"/>
    </row>
    <row r="36" spans="1:77" ht="15" hidden="1" thickBot="1" x14ac:dyDescent="0.35">
      <c r="A36" s="78"/>
      <c r="C36" s="6">
        <v>23</v>
      </c>
      <c r="D36" s="5" t="str">
        <f>IF(VLOOKUP(C36,DSNV!$C$8:$N$48,3,FALSE)=0,"",VLOOKUP(C36,DSNV!$C$8:$N$48,3,FALSE))</f>
        <v/>
      </c>
      <c r="E36" s="4" t="str">
        <f>IF(VLOOKUP(C36,DSNV!$C$8:$N$48,8,FALSE)="","",VLOOKUP(C36,DSNV!$C$8:$N$48,8,FALSE))</f>
        <v/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4">
        <f t="shared" si="2"/>
        <v>0</v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4">
        <f t="shared" si="3"/>
        <v>0</v>
      </c>
      <c r="BR36" s="4"/>
      <c r="BS36" s="4"/>
      <c r="BT36" s="45">
        <f t="shared" si="4"/>
        <v>0</v>
      </c>
      <c r="BU36" s="7"/>
      <c r="BW36" s="78"/>
      <c r="BX36" s="78"/>
      <c r="BY36" s="78"/>
    </row>
    <row r="37" spans="1:77" ht="15" hidden="1" thickBot="1" x14ac:dyDescent="0.35">
      <c r="A37" s="78"/>
      <c r="C37" s="6">
        <v>24</v>
      </c>
      <c r="D37" s="5" t="str">
        <f>IF(VLOOKUP(C37,DSNV!$C$8:$N$48,3,FALSE)=0,"",VLOOKUP(C37,DSNV!$C$8:$N$48,3,FALSE))</f>
        <v/>
      </c>
      <c r="E37" s="4" t="str">
        <f>IF(VLOOKUP(C37,DSNV!$C$8:$N$48,8,FALSE)="","",VLOOKUP(C37,DSNV!$C$8:$N$48,8,FALSE))</f>
        <v/>
      </c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4">
        <f t="shared" si="2"/>
        <v>0</v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4">
        <f t="shared" si="3"/>
        <v>0</v>
      </c>
      <c r="BR37" s="4"/>
      <c r="BS37" s="4"/>
      <c r="BT37" s="45">
        <f t="shared" si="4"/>
        <v>0</v>
      </c>
      <c r="BU37" s="7"/>
      <c r="BW37" s="78"/>
      <c r="BX37" s="78"/>
      <c r="BY37" s="78"/>
    </row>
    <row r="38" spans="1:77" ht="15" hidden="1" thickBot="1" x14ac:dyDescent="0.35">
      <c r="A38" s="78"/>
      <c r="C38" s="6">
        <v>25</v>
      </c>
      <c r="D38" s="5" t="str">
        <f>IF(VLOOKUP(C38,DSNV!$C$8:$N$48,3,FALSE)=0,"",VLOOKUP(C38,DSNV!$C$8:$N$48,3,FALSE))</f>
        <v/>
      </c>
      <c r="E38" s="4" t="str">
        <f>IF(VLOOKUP(C38,DSNV!$C$8:$N$48,8,FALSE)="","",VLOOKUP(C38,DSNV!$C$8:$N$48,8,FALSE))</f>
        <v/>
      </c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4">
        <f t="shared" si="2"/>
        <v>0</v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4">
        <f t="shared" si="3"/>
        <v>0</v>
      </c>
      <c r="BR38" s="4"/>
      <c r="BS38" s="4"/>
      <c r="BT38" s="45">
        <f t="shared" si="4"/>
        <v>0</v>
      </c>
      <c r="BU38" s="7"/>
      <c r="BW38" s="78"/>
      <c r="BX38" s="78"/>
      <c r="BY38" s="78"/>
    </row>
    <row r="39" spans="1:77" ht="15" hidden="1" thickBot="1" x14ac:dyDescent="0.35">
      <c r="A39" s="78"/>
      <c r="C39" s="6">
        <v>26</v>
      </c>
      <c r="D39" s="5" t="str">
        <f>IF(VLOOKUP(C39,DSNV!$C$8:$N$48,3,FALSE)=0,"",VLOOKUP(C39,DSNV!$C$8:$N$48,3,FALSE))</f>
        <v/>
      </c>
      <c r="E39" s="4" t="str">
        <f>IF(VLOOKUP(C39,DSNV!$C$8:$N$48,8,FALSE)="","",VLOOKUP(C39,DSNV!$C$8:$N$48,8,FALSE))</f>
        <v/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4">
        <f t="shared" si="2"/>
        <v>0</v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4">
        <f t="shared" si="3"/>
        <v>0</v>
      </c>
      <c r="BR39" s="4"/>
      <c r="BS39" s="4"/>
      <c r="BT39" s="45">
        <f t="shared" si="4"/>
        <v>0</v>
      </c>
      <c r="BU39" s="7"/>
      <c r="BW39" s="78"/>
      <c r="BX39" s="78"/>
      <c r="BY39" s="78"/>
    </row>
    <row r="40" spans="1:77" ht="15" hidden="1" thickBot="1" x14ac:dyDescent="0.35">
      <c r="A40" s="78"/>
      <c r="C40" s="6">
        <v>27</v>
      </c>
      <c r="D40" s="5" t="str">
        <f>IF(VLOOKUP(C40,DSNV!$C$8:$N$48,3,FALSE)=0,"",VLOOKUP(C40,DSNV!$C$8:$N$48,3,FALSE))</f>
        <v/>
      </c>
      <c r="E40" s="4" t="str">
        <f>IF(VLOOKUP(C40,DSNV!$C$8:$N$48,8,FALSE)="","",VLOOKUP(C40,DSNV!$C$8:$N$48,8,FALSE))</f>
        <v/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4">
        <f t="shared" si="2"/>
        <v>0</v>
      </c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4">
        <f t="shared" si="3"/>
        <v>0</v>
      </c>
      <c r="BR40" s="4"/>
      <c r="BS40" s="4"/>
      <c r="BT40" s="45">
        <f t="shared" si="4"/>
        <v>0</v>
      </c>
      <c r="BU40" s="7"/>
      <c r="BW40" s="78"/>
      <c r="BX40" s="78"/>
      <c r="BY40" s="78"/>
    </row>
    <row r="41" spans="1:77" ht="15" hidden="1" thickBot="1" x14ac:dyDescent="0.35">
      <c r="A41" s="78"/>
      <c r="C41" s="6">
        <v>28</v>
      </c>
      <c r="D41" s="5" t="str">
        <f>IF(VLOOKUP(C41,DSNV!$C$8:$N$48,3,FALSE)=0,"",VLOOKUP(C41,DSNV!$C$8:$N$48,3,FALSE))</f>
        <v/>
      </c>
      <c r="E41" s="4" t="str">
        <f>IF(VLOOKUP(C41,DSNV!$C$8:$N$48,8,FALSE)="","",VLOOKUP(C41,DSNV!$C$8:$N$48,8,FALSE))</f>
        <v/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4">
        <f t="shared" si="2"/>
        <v>0</v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4">
        <f t="shared" si="3"/>
        <v>0</v>
      </c>
      <c r="BR41" s="4"/>
      <c r="BS41" s="4"/>
      <c r="BT41" s="45">
        <f t="shared" si="4"/>
        <v>0</v>
      </c>
      <c r="BU41" s="7"/>
      <c r="BW41" s="78"/>
      <c r="BX41" s="78"/>
      <c r="BY41" s="78"/>
    </row>
    <row r="42" spans="1:77" ht="15" hidden="1" thickBot="1" x14ac:dyDescent="0.35">
      <c r="A42" s="78"/>
      <c r="C42" s="6">
        <v>29</v>
      </c>
      <c r="D42" s="5" t="str">
        <f>IF(VLOOKUP(C42,DSNV!$C$8:$N$48,3,FALSE)=0,"",VLOOKUP(C42,DSNV!$C$8:$N$48,3,FALSE))</f>
        <v/>
      </c>
      <c r="E42" s="4" t="str">
        <f>IF(VLOOKUP(C42,DSNV!$C$8:$N$48,8,FALSE)="","",VLOOKUP(C42,DSNV!$C$8:$N$48,8,FALSE))</f>
        <v/>
      </c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4">
        <f t="shared" si="2"/>
        <v>0</v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4">
        <f t="shared" si="3"/>
        <v>0</v>
      </c>
      <c r="BR42" s="4"/>
      <c r="BS42" s="4"/>
      <c r="BT42" s="45">
        <f t="shared" si="4"/>
        <v>0</v>
      </c>
      <c r="BU42" s="7"/>
      <c r="BW42" s="78"/>
      <c r="BX42" s="78"/>
      <c r="BY42" s="78"/>
    </row>
    <row r="43" spans="1:77" ht="15" hidden="1" thickBot="1" x14ac:dyDescent="0.35">
      <c r="A43" s="78"/>
      <c r="C43" s="6">
        <v>30</v>
      </c>
      <c r="D43" s="5" t="str">
        <f>IF(VLOOKUP(C43,DSNV!$C$8:$N$48,3,FALSE)=0,"",VLOOKUP(C43,DSNV!$C$8:$N$48,3,FALSE))</f>
        <v/>
      </c>
      <c r="E43" s="4" t="str">
        <f>IF(VLOOKUP(C43,DSNV!$C$8:$N$48,8,FALSE)="","",VLOOKUP(C43,DSNV!$C$8:$N$48,8,FALSE))</f>
        <v/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4">
        <f t="shared" si="2"/>
        <v>0</v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4">
        <f t="shared" si="3"/>
        <v>0</v>
      </c>
      <c r="BR43" s="4"/>
      <c r="BS43" s="4"/>
      <c r="BT43" s="45">
        <f t="shared" si="4"/>
        <v>0</v>
      </c>
      <c r="BU43" s="7"/>
      <c r="BW43" s="78"/>
      <c r="BX43" s="78"/>
      <c r="BY43" s="78"/>
    </row>
    <row r="44" spans="1:77" ht="15" hidden="1" thickBot="1" x14ac:dyDescent="0.35">
      <c r="A44" s="78"/>
      <c r="C44" s="6">
        <v>31</v>
      </c>
      <c r="D44" s="5" t="str">
        <f>IF(VLOOKUP(C44,DSNV!$C$8:$N$48,3,FALSE)=0,"",VLOOKUP(C44,DSNV!$C$8:$N$48,3,FALSE))</f>
        <v/>
      </c>
      <c r="E44" s="4" t="str">
        <f>IF(VLOOKUP(C44,DSNV!$C$8:$N$48,8,FALSE)="","",VLOOKUP(C44,DSNV!$C$8:$N$48,8,FALSE))</f>
        <v/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4">
        <f t="shared" si="2"/>
        <v>0</v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4">
        <f t="shared" si="3"/>
        <v>0</v>
      </c>
      <c r="BR44" s="4"/>
      <c r="BS44" s="4"/>
      <c r="BT44" s="45">
        <f t="shared" si="4"/>
        <v>0</v>
      </c>
      <c r="BU44" s="7"/>
      <c r="BW44" s="78"/>
      <c r="BX44" s="78"/>
      <c r="BY44" s="78"/>
    </row>
    <row r="45" spans="1:77" ht="15" hidden="1" thickBot="1" x14ac:dyDescent="0.35">
      <c r="A45" s="78"/>
      <c r="C45" s="6">
        <v>32</v>
      </c>
      <c r="D45" s="5" t="str">
        <f>IF(VLOOKUP(C45,DSNV!$C$8:$N$48,3,FALSE)=0,"",VLOOKUP(C45,DSNV!$C$8:$N$48,3,FALSE))</f>
        <v/>
      </c>
      <c r="E45" s="4" t="str">
        <f>IF(VLOOKUP(C45,DSNV!$C$8:$N$48,8,FALSE)="","",VLOOKUP(C45,DSNV!$C$8:$N$48,8,FALSE))</f>
        <v/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4">
        <f t="shared" si="2"/>
        <v>0</v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4">
        <f t="shared" si="3"/>
        <v>0</v>
      </c>
      <c r="BR45" s="4"/>
      <c r="BS45" s="4"/>
      <c r="BT45" s="45">
        <f t="shared" si="4"/>
        <v>0</v>
      </c>
      <c r="BU45" s="7"/>
      <c r="BW45" s="78"/>
      <c r="BX45" s="78"/>
      <c r="BY45" s="78"/>
    </row>
    <row r="46" spans="1:77" ht="15" hidden="1" thickBot="1" x14ac:dyDescent="0.35">
      <c r="A46" s="78"/>
      <c r="C46" s="6">
        <v>33</v>
      </c>
      <c r="D46" s="5" t="str">
        <f>IF(VLOOKUP(C46,DSNV!$C$8:$N$48,3,FALSE)=0,"",VLOOKUP(C46,DSNV!$C$8:$N$48,3,FALSE))</f>
        <v/>
      </c>
      <c r="E46" s="4" t="str">
        <f>IF(VLOOKUP(C46,DSNV!$C$8:$N$48,8,FALSE)="","",VLOOKUP(C46,DSNV!$C$8:$N$48,8,FALSE))</f>
        <v/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4">
        <f t="shared" si="2"/>
        <v>0</v>
      </c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4">
        <f t="shared" si="3"/>
        <v>0</v>
      </c>
      <c r="BR46" s="4"/>
      <c r="BS46" s="4"/>
      <c r="BT46" s="45">
        <f t="shared" si="4"/>
        <v>0</v>
      </c>
      <c r="BU46" s="7"/>
      <c r="BW46" s="78"/>
      <c r="BX46" s="78"/>
      <c r="BY46" s="78"/>
    </row>
    <row r="47" spans="1:77" ht="15" hidden="1" thickBot="1" x14ac:dyDescent="0.35">
      <c r="A47" s="78"/>
      <c r="C47" s="6">
        <v>34</v>
      </c>
      <c r="D47" s="5" t="str">
        <f>IF(VLOOKUP(C47,DSNV!$C$8:$N$48,3,FALSE)=0,"",VLOOKUP(C47,DSNV!$C$8:$N$48,3,FALSE))</f>
        <v/>
      </c>
      <c r="E47" s="4" t="str">
        <f>IF(VLOOKUP(C47,DSNV!$C$8:$N$48,8,FALSE)="","",VLOOKUP(C47,DSNV!$C$8:$N$48,8,FALSE))</f>
        <v/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4">
        <f t="shared" si="2"/>
        <v>0</v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4">
        <f t="shared" si="3"/>
        <v>0</v>
      </c>
      <c r="BR47" s="4"/>
      <c r="BS47" s="4"/>
      <c r="BT47" s="45">
        <f t="shared" si="4"/>
        <v>0</v>
      </c>
      <c r="BU47" s="7"/>
      <c r="BW47" s="78"/>
      <c r="BX47" s="78"/>
      <c r="BY47" s="78"/>
    </row>
    <row r="48" spans="1:77" ht="15" hidden="1" thickBot="1" x14ac:dyDescent="0.35">
      <c r="A48" s="78"/>
      <c r="C48" s="6">
        <v>35</v>
      </c>
      <c r="D48" s="5" t="str">
        <f>IF(VLOOKUP(C48,DSNV!$C$8:$N$48,3,FALSE)=0,"",VLOOKUP(C48,DSNV!$C$8:$N$48,3,FALSE))</f>
        <v/>
      </c>
      <c r="E48" s="4" t="str">
        <f>IF(VLOOKUP(C48,DSNV!$C$8:$N$48,8,FALSE)="","",VLOOKUP(C48,DSNV!$C$8:$N$48,8,FALSE))</f>
        <v/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4">
        <f t="shared" si="2"/>
        <v>0</v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4">
        <f t="shared" si="3"/>
        <v>0</v>
      </c>
      <c r="BR48" s="4"/>
      <c r="BS48" s="4"/>
      <c r="BT48" s="45">
        <f t="shared" si="4"/>
        <v>0</v>
      </c>
      <c r="BU48" s="7"/>
      <c r="BW48" s="78"/>
      <c r="BX48" s="78"/>
      <c r="BY48" s="78"/>
    </row>
    <row r="49" spans="1:77" ht="15" hidden="1" thickBot="1" x14ac:dyDescent="0.35">
      <c r="A49" s="78"/>
      <c r="C49" s="6">
        <v>36</v>
      </c>
      <c r="D49" s="5" t="str">
        <f>IF(VLOOKUP(C49,DSNV!$C$8:$N$48,3,FALSE)=0,"",VLOOKUP(C49,DSNV!$C$8:$N$48,3,FALSE))</f>
        <v/>
      </c>
      <c r="E49" s="4" t="str">
        <f>IF(VLOOKUP(C49,DSNV!$C$8:$N$48,8,FALSE)="","",VLOOKUP(C49,DSNV!$C$8:$N$48,8,FALSE))</f>
        <v/>
      </c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4">
        <f t="shared" si="2"/>
        <v>0</v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4">
        <f t="shared" si="3"/>
        <v>0</v>
      </c>
      <c r="BR49" s="4"/>
      <c r="BS49" s="4"/>
      <c r="BT49" s="45">
        <f t="shared" si="4"/>
        <v>0</v>
      </c>
      <c r="BU49" s="7"/>
      <c r="BW49" s="78"/>
      <c r="BX49" s="78"/>
      <c r="BY49" s="78"/>
    </row>
    <row r="50" spans="1:77" ht="15" hidden="1" thickBot="1" x14ac:dyDescent="0.35">
      <c r="A50" s="78"/>
      <c r="C50" s="6">
        <v>37</v>
      </c>
      <c r="D50" s="5" t="str">
        <f>IF(VLOOKUP(C50,DSNV!$C$8:$N$48,3,FALSE)=0,"",VLOOKUP(C50,DSNV!$C$8:$N$48,3,FALSE))</f>
        <v/>
      </c>
      <c r="E50" s="4" t="str">
        <f>IF(VLOOKUP(C50,DSNV!$C$8:$N$48,8,FALSE)="","",VLOOKUP(C50,DSNV!$C$8:$N$48,8,FALSE))</f>
        <v/>
      </c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4">
        <f t="shared" si="2"/>
        <v>0</v>
      </c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4">
        <f t="shared" si="3"/>
        <v>0</v>
      </c>
      <c r="BR50" s="4"/>
      <c r="BS50" s="4"/>
      <c r="BT50" s="45">
        <f t="shared" si="4"/>
        <v>0</v>
      </c>
      <c r="BU50" s="7"/>
      <c r="BW50" s="78"/>
      <c r="BX50" s="78"/>
      <c r="BY50" s="78"/>
    </row>
    <row r="51" spans="1:77" ht="15" hidden="1" thickBot="1" x14ac:dyDescent="0.35">
      <c r="A51" s="78"/>
      <c r="C51" s="6">
        <v>38</v>
      </c>
      <c r="D51" s="5" t="str">
        <f>IF(VLOOKUP(C51,DSNV!$C$8:$N$48,3,FALSE)=0,"",VLOOKUP(C51,DSNV!$C$8:$N$48,3,FALSE))</f>
        <v/>
      </c>
      <c r="E51" s="4" t="str">
        <f>IF(VLOOKUP(C51,DSNV!$C$8:$N$48,8,FALSE)="","",VLOOKUP(C51,DSNV!$C$8:$N$48,8,FALSE))</f>
        <v/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4">
        <f t="shared" si="2"/>
        <v>0</v>
      </c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4">
        <f t="shared" si="3"/>
        <v>0</v>
      </c>
      <c r="BR51" s="4"/>
      <c r="BS51" s="4"/>
      <c r="BT51" s="45">
        <f t="shared" si="4"/>
        <v>0</v>
      </c>
      <c r="BU51" s="7"/>
      <c r="BW51" s="78"/>
      <c r="BX51" s="78"/>
      <c r="BY51" s="78"/>
    </row>
    <row r="52" spans="1:77" ht="15" hidden="1" thickBot="1" x14ac:dyDescent="0.35">
      <c r="A52" s="78"/>
      <c r="C52" s="6">
        <v>39</v>
      </c>
      <c r="D52" s="5" t="str">
        <f>IF(VLOOKUP(C52,DSNV!$C$8:$N$48,3,FALSE)=0,"",VLOOKUP(C52,DSNV!$C$8:$N$48,3,FALSE))</f>
        <v/>
      </c>
      <c r="E52" s="4" t="str">
        <f>IF(VLOOKUP(C52,DSNV!$C$8:$N$48,8,FALSE)="","",VLOOKUP(C52,DSNV!$C$8:$N$48,8,FALSE))</f>
        <v/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4">
        <f t="shared" si="2"/>
        <v>0</v>
      </c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4">
        <f t="shared" si="3"/>
        <v>0</v>
      </c>
      <c r="BR52" s="4"/>
      <c r="BS52" s="4"/>
      <c r="BT52" s="45">
        <f t="shared" si="4"/>
        <v>0</v>
      </c>
      <c r="BU52" s="7"/>
      <c r="BW52" s="78"/>
      <c r="BX52" s="78"/>
      <c r="BY52" s="78"/>
    </row>
    <row r="53" spans="1:77" ht="15" hidden="1" thickBot="1" x14ac:dyDescent="0.35">
      <c r="A53" s="78"/>
      <c r="C53" s="14">
        <v>40</v>
      </c>
      <c r="D53" s="5" t="str">
        <f>IF(VLOOKUP(C53,DSNV!$C$8:$N$48,3,FALSE)=0,"",VLOOKUP(C53,DSNV!$C$8:$N$48,3,FALSE))</f>
        <v/>
      </c>
      <c r="E53" s="4" t="str">
        <f>IF(VLOOKUP(C53,DSNV!$C$8:$N$48,8,FALSE)="","",VLOOKUP(C53,DSNV!$C$8:$N$48,8,FALSE))</f>
        <v/>
      </c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4">
        <f t="shared" si="2"/>
        <v>0</v>
      </c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4">
        <f t="shared" si="3"/>
        <v>0</v>
      </c>
      <c r="BR53" s="4"/>
      <c r="BS53" s="4"/>
      <c r="BT53" s="45">
        <f t="shared" si="4"/>
        <v>0</v>
      </c>
      <c r="BU53" s="15"/>
      <c r="BW53" s="78"/>
      <c r="BX53" s="78"/>
      <c r="BY53" s="78"/>
    </row>
    <row r="54" spans="1:77" ht="15" thickBot="1" x14ac:dyDescent="0.35">
      <c r="A54" s="78"/>
      <c r="C54" s="121" t="s">
        <v>53</v>
      </c>
      <c r="D54" s="121"/>
      <c r="E54" s="121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37">
        <f>SUM(AK14:AK53)</f>
        <v>0</v>
      </c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37">
        <f>SUM(BQ14:BQ53)</f>
        <v>0</v>
      </c>
      <c r="BR54" s="37">
        <f t="shared" ref="BR54:BS54" si="7">SUM(BR14:BR53)</f>
        <v>0</v>
      </c>
      <c r="BS54" s="37">
        <f t="shared" si="7"/>
        <v>0</v>
      </c>
      <c r="BT54" s="37">
        <f>SUM(BT14:BT53)</f>
        <v>0</v>
      </c>
      <c r="BU54" s="17"/>
      <c r="BW54" s="78"/>
      <c r="BX54" s="78"/>
      <c r="BY54" s="78"/>
    </row>
    <row r="55" spans="1:77" x14ac:dyDescent="0.3">
      <c r="A55" s="78"/>
      <c r="BW55" s="78"/>
      <c r="BX55" s="78"/>
      <c r="BY55" s="78"/>
    </row>
    <row r="56" spans="1:77" x14ac:dyDescent="0.3">
      <c r="A56" s="78"/>
      <c r="BW56" s="78"/>
      <c r="BX56" s="78"/>
      <c r="BY56" s="78"/>
    </row>
    <row r="57" spans="1:77" x14ac:dyDescent="0.3">
      <c r="A57" s="78"/>
      <c r="B57" s="78"/>
      <c r="C57" s="77"/>
      <c r="D57" s="78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  <c r="AW57" s="77"/>
      <c r="AX57" s="77"/>
      <c r="AY57" s="77"/>
      <c r="AZ57" s="77"/>
      <c r="BA57" s="77"/>
      <c r="BB57" s="77"/>
      <c r="BC57" s="77"/>
      <c r="BD57" s="77"/>
      <c r="BE57" s="77"/>
      <c r="BF57" s="77"/>
      <c r="BG57" s="77"/>
      <c r="BH57" s="77"/>
      <c r="BI57" s="77"/>
      <c r="BJ57" s="77"/>
      <c r="BK57" s="77"/>
      <c r="BL57" s="77"/>
      <c r="BM57" s="77"/>
      <c r="BN57" s="77"/>
      <c r="BO57" s="77"/>
      <c r="BP57" s="77"/>
      <c r="BQ57" s="77"/>
      <c r="BR57" s="77"/>
      <c r="BS57" s="77"/>
      <c r="BT57" s="77"/>
      <c r="BU57" s="78"/>
      <c r="BV57" s="78"/>
      <c r="BW57" s="78"/>
      <c r="BX57" s="78"/>
      <c r="BY57" s="78"/>
    </row>
    <row r="58" spans="1:77" x14ac:dyDescent="0.3">
      <c r="A58" s="78"/>
      <c r="B58" s="78"/>
      <c r="C58" s="77"/>
      <c r="D58" s="78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7"/>
      <c r="AL58" s="77"/>
      <c r="AM58" s="77"/>
      <c r="AN58" s="77"/>
      <c r="AO58" s="77"/>
      <c r="AP58" s="77"/>
      <c r="AQ58" s="77"/>
      <c r="AR58" s="77"/>
      <c r="AS58" s="77"/>
      <c r="AT58" s="77"/>
      <c r="AU58" s="77"/>
      <c r="AV58" s="77"/>
      <c r="AW58" s="77"/>
      <c r="AX58" s="77"/>
      <c r="AY58" s="77"/>
      <c r="AZ58" s="77"/>
      <c r="BA58" s="77"/>
      <c r="BB58" s="77"/>
      <c r="BC58" s="77"/>
      <c r="BD58" s="77"/>
      <c r="BE58" s="77"/>
      <c r="BF58" s="77"/>
      <c r="BG58" s="77"/>
      <c r="BH58" s="77"/>
      <c r="BI58" s="77"/>
      <c r="BJ58" s="77"/>
      <c r="BK58" s="77"/>
      <c r="BL58" s="77"/>
      <c r="BM58" s="77"/>
      <c r="BN58" s="77"/>
      <c r="BO58" s="77"/>
      <c r="BP58" s="77"/>
      <c r="BQ58" s="77"/>
      <c r="BR58" s="77"/>
      <c r="BS58" s="77"/>
      <c r="BT58" s="77"/>
      <c r="BU58" s="78"/>
      <c r="BV58" s="78"/>
      <c r="BW58" s="78"/>
      <c r="BX58" s="78"/>
      <c r="BY58" s="78"/>
    </row>
    <row r="59" spans="1:77" x14ac:dyDescent="0.3">
      <c r="A59" s="78"/>
      <c r="B59" s="78"/>
      <c r="C59" s="77"/>
      <c r="D59" s="78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  <c r="AI59" s="77"/>
      <c r="AJ59" s="77"/>
      <c r="AK59" s="77"/>
      <c r="AL59" s="77"/>
      <c r="AM59" s="77"/>
      <c r="AN59" s="77"/>
      <c r="AO59" s="77"/>
      <c r="AP59" s="77"/>
      <c r="AQ59" s="77"/>
      <c r="AR59" s="77"/>
      <c r="AS59" s="77"/>
      <c r="AT59" s="77"/>
      <c r="AU59" s="77"/>
      <c r="AV59" s="77"/>
      <c r="AW59" s="77"/>
      <c r="AX59" s="77"/>
      <c r="AY59" s="77"/>
      <c r="AZ59" s="77"/>
      <c r="BA59" s="77"/>
      <c r="BB59" s="77"/>
      <c r="BC59" s="77"/>
      <c r="BD59" s="77"/>
      <c r="BE59" s="77"/>
      <c r="BF59" s="77"/>
      <c r="BG59" s="77"/>
      <c r="BH59" s="77"/>
      <c r="BI59" s="77"/>
      <c r="BJ59" s="77"/>
      <c r="BK59" s="77"/>
      <c r="BL59" s="77"/>
      <c r="BM59" s="77"/>
      <c r="BN59" s="77"/>
      <c r="BO59" s="77"/>
      <c r="BP59" s="77"/>
      <c r="BQ59" s="77"/>
      <c r="BR59" s="77"/>
      <c r="BS59" s="77"/>
      <c r="BT59" s="77"/>
      <c r="BU59" s="78"/>
      <c r="BV59" s="78"/>
      <c r="BW59" s="78"/>
      <c r="BX59" s="78"/>
      <c r="BY59" s="78"/>
    </row>
  </sheetData>
  <autoFilter ref="C11:BU54" xr:uid="{5B728C7B-9475-4B02-8B4D-6C91ABA364A6}"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</autoFilter>
  <mergeCells count="12">
    <mergeCell ref="BQ11:BQ13"/>
    <mergeCell ref="BT11:BT13"/>
    <mergeCell ref="BU11:BU13"/>
    <mergeCell ref="C54:E54"/>
    <mergeCell ref="BR11:BR13"/>
    <mergeCell ref="BS11:BS13"/>
    <mergeCell ref="C11:C13"/>
    <mergeCell ref="D11:D13"/>
    <mergeCell ref="E11:E13"/>
    <mergeCell ref="F11:AJ11"/>
    <mergeCell ref="AK11:AK13"/>
    <mergeCell ref="AL11:BP11"/>
  </mergeCells>
  <conditionalFormatting sqref="F12:AJ54 AL12:BP54">
    <cfRule type="expression" dxfId="22" priority="3">
      <formula>OR(WEEKDAY($D$1+F$12)=1,WEEKDAY($D$1+F$12)=7)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D10EE-C80B-4E8C-9674-99F4B432D5C4}">
  <sheetPr codeName="Sheet7"/>
  <dimension ref="A1:BX59"/>
  <sheetViews>
    <sheetView showGridLines="0" showRowColHeaders="0" workbookViewId="0">
      <pane xSplit="5" ySplit="13" topLeftCell="F14" activePane="bottomRight" state="frozen"/>
      <selection pane="topRight" activeCell="F1" sqref="F1"/>
      <selection pane="bottomLeft" activeCell="A14" sqref="A14"/>
      <selection pane="bottomRight"/>
    </sheetView>
  </sheetViews>
  <sheetFormatPr defaultColWidth="0" defaultRowHeight="14.4" zeroHeight="1" x14ac:dyDescent="0.3"/>
  <cols>
    <col min="1" max="1" width="8.88671875" style="78" customWidth="1"/>
    <col min="2" max="2" width="3.33203125" style="78" customWidth="1"/>
    <col min="3" max="3" width="5.21875" style="77" customWidth="1"/>
    <col min="4" max="4" width="23" style="78" bestFit="1" customWidth="1"/>
    <col min="5" max="5" width="12" style="77" customWidth="1"/>
    <col min="6" max="36" width="3.44140625" style="77" bestFit="1" customWidth="1"/>
    <col min="37" max="37" width="6.77734375" style="77" customWidth="1"/>
    <col min="38" max="68" width="3.44140625" style="77" bestFit="1" customWidth="1"/>
    <col min="69" max="72" width="6.77734375" style="77" customWidth="1"/>
    <col min="73" max="73" width="9.88671875" style="78" customWidth="1"/>
    <col min="74" max="74" width="4" style="78" customWidth="1"/>
    <col min="75" max="75" width="8.88671875" style="78" customWidth="1"/>
    <col min="76" max="76" width="8.88671875" style="78" hidden="1" customWidth="1"/>
    <col min="77" max="16384" width="8.88671875" style="2" hidden="1"/>
  </cols>
  <sheetData>
    <row r="1" spans="2:74" s="104" customFormat="1" x14ac:dyDescent="0.3">
      <c r="C1" s="105"/>
      <c r="D1" s="106">
        <f>D2-1</f>
        <v>44255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</row>
    <row r="2" spans="2:74" s="104" customFormat="1" x14ac:dyDescent="0.3">
      <c r="C2" s="105"/>
      <c r="D2" s="107" t="str">
        <f>"01/03/"&amp;E9</f>
        <v>01/03/2021</v>
      </c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105"/>
      <c r="BP2" s="105"/>
      <c r="BQ2" s="105"/>
      <c r="BR2" s="105"/>
      <c r="BS2" s="105"/>
      <c r="BT2" s="105"/>
    </row>
    <row r="3" spans="2:74" s="110" customFormat="1" x14ac:dyDescent="0.3">
      <c r="C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1"/>
      <c r="AU3" s="111"/>
      <c r="AV3" s="111"/>
      <c r="AW3" s="111"/>
      <c r="AX3" s="111"/>
      <c r="AY3" s="111"/>
      <c r="AZ3" s="111"/>
      <c r="BA3" s="111"/>
      <c r="BB3" s="111"/>
      <c r="BC3" s="111"/>
      <c r="BD3" s="111"/>
      <c r="BE3" s="111"/>
      <c r="BF3" s="111"/>
      <c r="BG3" s="111"/>
      <c r="BH3" s="111"/>
      <c r="BI3" s="111"/>
      <c r="BJ3" s="111"/>
      <c r="BK3" s="111"/>
      <c r="BL3" s="111"/>
      <c r="BM3" s="111"/>
      <c r="BN3" s="111"/>
      <c r="BO3" s="111"/>
      <c r="BP3" s="111"/>
      <c r="BQ3" s="111"/>
      <c r="BR3" s="111"/>
      <c r="BS3" s="111"/>
      <c r="BT3" s="111"/>
    </row>
    <row r="4" spans="2:74" x14ac:dyDescent="0.3">
      <c r="D4" s="79"/>
    </row>
    <row r="5" spans="2:74" x14ac:dyDescent="0.3">
      <c r="B5" s="2"/>
      <c r="C5" s="3"/>
      <c r="D5" s="2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2"/>
      <c r="BV5" s="2"/>
    </row>
    <row r="6" spans="2:74" x14ac:dyDescent="0.3">
      <c r="B6" s="2"/>
      <c r="C6" s="3"/>
      <c r="D6" s="41" t="s">
        <v>49</v>
      </c>
      <c r="E6" s="42">
        <f>COUNTIFS(F13:AJ13,"&gt;1",F13:AJ13,"&lt;7")</f>
        <v>23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2"/>
      <c r="BV6" s="2"/>
    </row>
    <row r="7" spans="2:74" x14ac:dyDescent="0.3">
      <c r="B7" s="2"/>
      <c r="C7" s="1"/>
      <c r="D7" s="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2"/>
      <c r="BV7" s="2"/>
    </row>
    <row r="8" spans="2:74" ht="25.8" x14ac:dyDescent="0.5">
      <c r="B8" s="2"/>
      <c r="C8" s="102"/>
      <c r="D8" s="39" t="s">
        <v>50</v>
      </c>
      <c r="E8" s="39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2"/>
      <c r="BV8" s="2"/>
    </row>
    <row r="9" spans="2:74" x14ac:dyDescent="0.3">
      <c r="B9" s="2"/>
      <c r="C9" s="3"/>
      <c r="D9" s="40" t="s">
        <v>89</v>
      </c>
      <c r="E9" s="1">
        <v>2021</v>
      </c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2"/>
      <c r="BV9" s="2"/>
    </row>
    <row r="10" spans="2:74" x14ac:dyDescent="0.3">
      <c r="B10" s="2"/>
      <c r="C10" s="3"/>
      <c r="D10" s="2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2"/>
      <c r="BV10" s="2"/>
    </row>
    <row r="11" spans="2:74" ht="13.8" customHeight="1" x14ac:dyDescent="0.3">
      <c r="B11" s="2"/>
      <c r="C11" s="120" t="s">
        <v>1</v>
      </c>
      <c r="D11" s="120" t="s">
        <v>2</v>
      </c>
      <c r="E11" s="120" t="s">
        <v>6</v>
      </c>
      <c r="F11" s="120" t="s">
        <v>51</v>
      </c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/>
      <c r="AK11" s="119" t="s">
        <v>54</v>
      </c>
      <c r="AL11" s="120" t="s">
        <v>52</v>
      </c>
      <c r="AM11" s="120"/>
      <c r="AN11" s="120"/>
      <c r="AO11" s="120"/>
      <c r="AP11" s="120"/>
      <c r="AQ11" s="120"/>
      <c r="AR11" s="120"/>
      <c r="AS11" s="120"/>
      <c r="AT11" s="120"/>
      <c r="AU11" s="120"/>
      <c r="AV11" s="120"/>
      <c r="AW11" s="120"/>
      <c r="AX11" s="120"/>
      <c r="AY11" s="120"/>
      <c r="AZ11" s="120"/>
      <c r="BA11" s="120"/>
      <c r="BB11" s="120"/>
      <c r="BC11" s="120"/>
      <c r="BD11" s="120"/>
      <c r="BE11" s="120"/>
      <c r="BF11" s="120"/>
      <c r="BG11" s="120"/>
      <c r="BH11" s="120"/>
      <c r="BI11" s="120"/>
      <c r="BJ11" s="120"/>
      <c r="BK11" s="120"/>
      <c r="BL11" s="120"/>
      <c r="BM11" s="120"/>
      <c r="BN11" s="120"/>
      <c r="BO11" s="120"/>
      <c r="BP11" s="120"/>
      <c r="BQ11" s="119" t="s">
        <v>112</v>
      </c>
      <c r="BR11" s="122" t="s">
        <v>113</v>
      </c>
      <c r="BS11" s="122" t="s">
        <v>114</v>
      </c>
      <c r="BT11" s="119" t="s">
        <v>53</v>
      </c>
      <c r="BU11" s="120" t="s">
        <v>8</v>
      </c>
      <c r="BV11" s="2"/>
    </row>
    <row r="12" spans="2:74" x14ac:dyDescent="0.3">
      <c r="B12" s="2"/>
      <c r="C12" s="120"/>
      <c r="D12" s="120"/>
      <c r="E12" s="120"/>
      <c r="F12" s="18">
        <v>1</v>
      </c>
      <c r="G12" s="18">
        <v>2</v>
      </c>
      <c r="H12" s="18">
        <v>3</v>
      </c>
      <c r="I12" s="18">
        <v>4</v>
      </c>
      <c r="J12" s="18">
        <v>5</v>
      </c>
      <c r="K12" s="18">
        <v>6</v>
      </c>
      <c r="L12" s="18">
        <v>7</v>
      </c>
      <c r="M12" s="18">
        <v>8</v>
      </c>
      <c r="N12" s="18">
        <v>9</v>
      </c>
      <c r="O12" s="18">
        <v>10</v>
      </c>
      <c r="P12" s="18">
        <v>11</v>
      </c>
      <c r="Q12" s="18">
        <v>12</v>
      </c>
      <c r="R12" s="18">
        <v>13</v>
      </c>
      <c r="S12" s="18">
        <v>14</v>
      </c>
      <c r="T12" s="18">
        <v>15</v>
      </c>
      <c r="U12" s="18">
        <v>16</v>
      </c>
      <c r="V12" s="18">
        <v>17</v>
      </c>
      <c r="W12" s="18">
        <v>18</v>
      </c>
      <c r="X12" s="18">
        <v>19</v>
      </c>
      <c r="Y12" s="18">
        <v>20</v>
      </c>
      <c r="Z12" s="18">
        <v>21</v>
      </c>
      <c r="AA12" s="18">
        <v>22</v>
      </c>
      <c r="AB12" s="18">
        <v>23</v>
      </c>
      <c r="AC12" s="18">
        <v>24</v>
      </c>
      <c r="AD12" s="18">
        <v>25</v>
      </c>
      <c r="AE12" s="18">
        <v>26</v>
      </c>
      <c r="AF12" s="18">
        <v>27</v>
      </c>
      <c r="AG12" s="18">
        <v>28</v>
      </c>
      <c r="AH12" s="18">
        <v>29</v>
      </c>
      <c r="AI12" s="18">
        <v>30</v>
      </c>
      <c r="AJ12" s="18">
        <v>31</v>
      </c>
      <c r="AK12" s="119"/>
      <c r="AL12" s="18">
        <v>1</v>
      </c>
      <c r="AM12" s="18">
        <v>2</v>
      </c>
      <c r="AN12" s="18">
        <v>3</v>
      </c>
      <c r="AO12" s="18">
        <v>4</v>
      </c>
      <c r="AP12" s="18">
        <v>5</v>
      </c>
      <c r="AQ12" s="18">
        <v>6</v>
      </c>
      <c r="AR12" s="18">
        <v>7</v>
      </c>
      <c r="AS12" s="18">
        <v>8</v>
      </c>
      <c r="AT12" s="18">
        <v>9</v>
      </c>
      <c r="AU12" s="18">
        <v>10</v>
      </c>
      <c r="AV12" s="18">
        <v>11</v>
      </c>
      <c r="AW12" s="18">
        <v>12</v>
      </c>
      <c r="AX12" s="18">
        <v>13</v>
      </c>
      <c r="AY12" s="18">
        <v>14</v>
      </c>
      <c r="AZ12" s="18">
        <v>15</v>
      </c>
      <c r="BA12" s="18">
        <v>16</v>
      </c>
      <c r="BB12" s="18">
        <v>17</v>
      </c>
      <c r="BC12" s="18">
        <v>18</v>
      </c>
      <c r="BD12" s="18">
        <v>19</v>
      </c>
      <c r="BE12" s="18">
        <v>20</v>
      </c>
      <c r="BF12" s="18">
        <v>21</v>
      </c>
      <c r="BG12" s="18">
        <v>22</v>
      </c>
      <c r="BH12" s="18">
        <v>23</v>
      </c>
      <c r="BI12" s="18">
        <v>24</v>
      </c>
      <c r="BJ12" s="18">
        <v>25</v>
      </c>
      <c r="BK12" s="18">
        <v>26</v>
      </c>
      <c r="BL12" s="18">
        <v>27</v>
      </c>
      <c r="BM12" s="18">
        <v>28</v>
      </c>
      <c r="BN12" s="18">
        <v>29</v>
      </c>
      <c r="BO12" s="18">
        <v>30</v>
      </c>
      <c r="BP12" s="18">
        <v>31</v>
      </c>
      <c r="BQ12" s="119"/>
      <c r="BR12" s="123"/>
      <c r="BS12" s="123"/>
      <c r="BT12" s="119"/>
      <c r="BU12" s="120"/>
      <c r="BV12" s="2"/>
    </row>
    <row r="13" spans="2:74" ht="25.8" x14ac:dyDescent="0.3">
      <c r="B13" s="2"/>
      <c r="C13" s="120"/>
      <c r="D13" s="120"/>
      <c r="E13" s="120"/>
      <c r="F13" s="38">
        <f>WEEKDAY($D$1+F12)</f>
        <v>2</v>
      </c>
      <c r="G13" s="38">
        <f t="shared" ref="G13:AJ13" si="0">WEEKDAY($D$1+G12)</f>
        <v>3</v>
      </c>
      <c r="H13" s="38">
        <f t="shared" si="0"/>
        <v>4</v>
      </c>
      <c r="I13" s="38">
        <f t="shared" si="0"/>
        <v>5</v>
      </c>
      <c r="J13" s="38">
        <f t="shared" si="0"/>
        <v>6</v>
      </c>
      <c r="K13" s="38">
        <f t="shared" si="0"/>
        <v>7</v>
      </c>
      <c r="L13" s="38">
        <f t="shared" si="0"/>
        <v>1</v>
      </c>
      <c r="M13" s="38">
        <f t="shared" si="0"/>
        <v>2</v>
      </c>
      <c r="N13" s="38">
        <f t="shared" si="0"/>
        <v>3</v>
      </c>
      <c r="O13" s="38">
        <f t="shared" si="0"/>
        <v>4</v>
      </c>
      <c r="P13" s="38">
        <f t="shared" si="0"/>
        <v>5</v>
      </c>
      <c r="Q13" s="38">
        <f t="shared" si="0"/>
        <v>6</v>
      </c>
      <c r="R13" s="38">
        <f t="shared" si="0"/>
        <v>7</v>
      </c>
      <c r="S13" s="38">
        <f t="shared" si="0"/>
        <v>1</v>
      </c>
      <c r="T13" s="38">
        <f t="shared" si="0"/>
        <v>2</v>
      </c>
      <c r="U13" s="38">
        <f t="shared" si="0"/>
        <v>3</v>
      </c>
      <c r="V13" s="38">
        <f t="shared" si="0"/>
        <v>4</v>
      </c>
      <c r="W13" s="38">
        <f t="shared" si="0"/>
        <v>5</v>
      </c>
      <c r="X13" s="38">
        <f t="shared" si="0"/>
        <v>6</v>
      </c>
      <c r="Y13" s="38">
        <f t="shared" si="0"/>
        <v>7</v>
      </c>
      <c r="Z13" s="38">
        <f t="shared" si="0"/>
        <v>1</v>
      </c>
      <c r="AA13" s="38">
        <f t="shared" si="0"/>
        <v>2</v>
      </c>
      <c r="AB13" s="38">
        <f t="shared" si="0"/>
        <v>3</v>
      </c>
      <c r="AC13" s="38">
        <f t="shared" si="0"/>
        <v>4</v>
      </c>
      <c r="AD13" s="38">
        <f t="shared" si="0"/>
        <v>5</v>
      </c>
      <c r="AE13" s="38">
        <f t="shared" si="0"/>
        <v>6</v>
      </c>
      <c r="AF13" s="38">
        <f t="shared" si="0"/>
        <v>7</v>
      </c>
      <c r="AG13" s="38">
        <f t="shared" si="0"/>
        <v>1</v>
      </c>
      <c r="AH13" s="38">
        <f t="shared" si="0"/>
        <v>2</v>
      </c>
      <c r="AI13" s="38">
        <f t="shared" si="0"/>
        <v>3</v>
      </c>
      <c r="AJ13" s="38">
        <f t="shared" si="0"/>
        <v>4</v>
      </c>
      <c r="AK13" s="119"/>
      <c r="AL13" s="38">
        <f>WEEKDAY($D$1+AL12)</f>
        <v>2</v>
      </c>
      <c r="AM13" s="38">
        <f t="shared" ref="AM13:BP13" si="1">WEEKDAY($D$1+AM12)</f>
        <v>3</v>
      </c>
      <c r="AN13" s="38">
        <f t="shared" si="1"/>
        <v>4</v>
      </c>
      <c r="AO13" s="38">
        <f t="shared" si="1"/>
        <v>5</v>
      </c>
      <c r="AP13" s="38">
        <f t="shared" si="1"/>
        <v>6</v>
      </c>
      <c r="AQ13" s="38">
        <f t="shared" si="1"/>
        <v>7</v>
      </c>
      <c r="AR13" s="38">
        <f t="shared" si="1"/>
        <v>1</v>
      </c>
      <c r="AS13" s="38">
        <f t="shared" si="1"/>
        <v>2</v>
      </c>
      <c r="AT13" s="38">
        <f t="shared" si="1"/>
        <v>3</v>
      </c>
      <c r="AU13" s="38">
        <f t="shared" si="1"/>
        <v>4</v>
      </c>
      <c r="AV13" s="38">
        <f t="shared" si="1"/>
        <v>5</v>
      </c>
      <c r="AW13" s="38">
        <f t="shared" si="1"/>
        <v>6</v>
      </c>
      <c r="AX13" s="38">
        <f t="shared" si="1"/>
        <v>7</v>
      </c>
      <c r="AY13" s="38">
        <f t="shared" si="1"/>
        <v>1</v>
      </c>
      <c r="AZ13" s="38">
        <f t="shared" si="1"/>
        <v>2</v>
      </c>
      <c r="BA13" s="38">
        <f t="shared" si="1"/>
        <v>3</v>
      </c>
      <c r="BB13" s="38">
        <f t="shared" si="1"/>
        <v>4</v>
      </c>
      <c r="BC13" s="38">
        <f t="shared" si="1"/>
        <v>5</v>
      </c>
      <c r="BD13" s="38">
        <f t="shared" si="1"/>
        <v>6</v>
      </c>
      <c r="BE13" s="38">
        <f t="shared" si="1"/>
        <v>7</v>
      </c>
      <c r="BF13" s="38">
        <f t="shared" si="1"/>
        <v>1</v>
      </c>
      <c r="BG13" s="38">
        <f t="shared" si="1"/>
        <v>2</v>
      </c>
      <c r="BH13" s="38">
        <f t="shared" si="1"/>
        <v>3</v>
      </c>
      <c r="BI13" s="38">
        <f t="shared" si="1"/>
        <v>4</v>
      </c>
      <c r="BJ13" s="38">
        <f t="shared" si="1"/>
        <v>5</v>
      </c>
      <c r="BK13" s="38">
        <f t="shared" si="1"/>
        <v>6</v>
      </c>
      <c r="BL13" s="38">
        <f t="shared" si="1"/>
        <v>7</v>
      </c>
      <c r="BM13" s="38">
        <f t="shared" si="1"/>
        <v>1</v>
      </c>
      <c r="BN13" s="38">
        <f t="shared" si="1"/>
        <v>2</v>
      </c>
      <c r="BO13" s="38">
        <f t="shared" si="1"/>
        <v>3</v>
      </c>
      <c r="BP13" s="38">
        <f t="shared" si="1"/>
        <v>4</v>
      </c>
      <c r="BQ13" s="119"/>
      <c r="BR13" s="124"/>
      <c r="BS13" s="124"/>
      <c r="BT13" s="119"/>
      <c r="BU13" s="120"/>
      <c r="BV13" s="2"/>
    </row>
    <row r="14" spans="2:74" x14ac:dyDescent="0.3">
      <c r="B14" s="2"/>
      <c r="C14" s="4">
        <v>1</v>
      </c>
      <c r="D14" s="5" t="str">
        <f>IF(VLOOKUP(C14,DSNV!$C$8:$N$48,3,FALSE)=0,"",VLOOKUP(C14,DSNV!$C$8:$N$48,3,FALSE))</f>
        <v>Nguyễn Võ Như Bình</v>
      </c>
      <c r="E14" s="4" t="str">
        <f>IF(VLOOKUP(C14,DSNV!$C$8:$N$48,8,FALSE)="","",VLOOKUP(C14,DSNV!$C$8:$N$48,8,FALSE))</f>
        <v>Thành viên</v>
      </c>
      <c r="F14" s="4"/>
      <c r="G14" s="4"/>
      <c r="H14" s="4"/>
      <c r="I14" s="4"/>
      <c r="J14" s="4"/>
      <c r="K14" s="4"/>
      <c r="L14" s="4"/>
      <c r="M14" s="4"/>
      <c r="N14" s="4">
        <v>2</v>
      </c>
      <c r="O14" s="4"/>
      <c r="P14" s="4"/>
      <c r="Q14" s="4"/>
      <c r="R14" s="4"/>
      <c r="S14" s="4"/>
      <c r="T14" s="4"/>
      <c r="U14" s="4">
        <v>2</v>
      </c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>
        <v>2</v>
      </c>
      <c r="AJ14" s="4"/>
      <c r="AK14" s="4">
        <f>SUM(F14:AJ14)</f>
        <v>6</v>
      </c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>
        <v>2</v>
      </c>
      <c r="AW14" s="4"/>
      <c r="AX14" s="4"/>
      <c r="AY14" s="4"/>
      <c r="AZ14" s="4"/>
      <c r="BA14" s="4"/>
      <c r="BB14" s="4">
        <v>1</v>
      </c>
      <c r="BC14" s="4">
        <v>2</v>
      </c>
      <c r="BD14" s="4"/>
      <c r="BE14" s="4"/>
      <c r="BF14" s="4"/>
      <c r="BG14" s="4"/>
      <c r="BH14" s="4">
        <v>1</v>
      </c>
      <c r="BI14" s="4"/>
      <c r="BJ14" s="4">
        <v>2</v>
      </c>
      <c r="BK14" s="4"/>
      <c r="BL14" s="4"/>
      <c r="BM14" s="4"/>
      <c r="BN14" s="4"/>
      <c r="BO14" s="4"/>
      <c r="BP14" s="4"/>
      <c r="BQ14" s="4">
        <f>SUM(AL14:BP14)</f>
        <v>8</v>
      </c>
      <c r="BR14" s="4"/>
      <c r="BS14" s="4"/>
      <c r="BT14" s="45">
        <f>SUM(AK14,BQ14:BS14)</f>
        <v>14</v>
      </c>
      <c r="BU14" s="5"/>
      <c r="BV14" s="2"/>
    </row>
    <row r="15" spans="2:74" x14ac:dyDescent="0.3">
      <c r="B15" s="2"/>
      <c r="C15" s="6">
        <v>2</v>
      </c>
      <c r="D15" s="5" t="str">
        <f>IF(VLOOKUP(C15,DSNV!$C$8:$N$48,3,FALSE)=0,"",VLOOKUP(C15,DSNV!$C$8:$N$48,3,FALSE))</f>
        <v>Võ Khánh Đoan</v>
      </c>
      <c r="E15" s="4" t="str">
        <f>IF(VLOOKUP(C15,DSNV!$C$8:$N$48,8,FALSE)="","",VLOOKUP(C15,DSNV!$C$8:$N$48,8,FALSE))</f>
        <v>Thành viên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>
        <v>2</v>
      </c>
      <c r="Q15" s="6"/>
      <c r="R15" s="6"/>
      <c r="S15" s="6"/>
      <c r="T15" s="6"/>
      <c r="U15" s="6"/>
      <c r="V15" s="6"/>
      <c r="W15" s="6"/>
      <c r="X15" s="6"/>
      <c r="Y15" s="6"/>
      <c r="Z15" s="6"/>
      <c r="AA15" s="6">
        <v>1</v>
      </c>
      <c r="AB15" s="6">
        <v>2</v>
      </c>
      <c r="AC15" s="6"/>
      <c r="AD15" s="6"/>
      <c r="AE15" s="6"/>
      <c r="AF15" s="6"/>
      <c r="AG15" s="6"/>
      <c r="AH15" s="6"/>
      <c r="AI15" s="6"/>
      <c r="AJ15" s="6"/>
      <c r="AK15" s="4">
        <f t="shared" ref="AK15:AK53" si="2">SUM(F15:AJ15)</f>
        <v>5</v>
      </c>
      <c r="AL15" s="6"/>
      <c r="AM15" s="6"/>
      <c r="AN15" s="6"/>
      <c r="AO15" s="6"/>
      <c r="AP15" s="6"/>
      <c r="AQ15" s="6"/>
      <c r="AR15" s="6"/>
      <c r="AS15" s="6"/>
      <c r="AT15" s="6"/>
      <c r="AU15" s="6">
        <v>1</v>
      </c>
      <c r="AV15" s="6"/>
      <c r="AW15" s="6"/>
      <c r="AX15" s="6"/>
      <c r="AY15" s="6"/>
      <c r="AZ15" s="6"/>
      <c r="BA15" s="6">
        <v>2</v>
      </c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>
        <v>2</v>
      </c>
      <c r="BP15" s="6">
        <v>1</v>
      </c>
      <c r="BQ15" s="4">
        <f t="shared" ref="BQ15:BQ53" si="3">SUM(AL15:BP15)</f>
        <v>6</v>
      </c>
      <c r="BR15" s="4"/>
      <c r="BS15" s="4"/>
      <c r="BT15" s="45">
        <f t="shared" ref="BT15:BT53" si="4">SUM(AK15,BQ15:BS15)</f>
        <v>11</v>
      </c>
      <c r="BU15" s="7"/>
      <c r="BV15" s="2"/>
    </row>
    <row r="16" spans="2:74" x14ac:dyDescent="0.3">
      <c r="B16" s="2"/>
      <c r="C16" s="6">
        <v>3</v>
      </c>
      <c r="D16" s="5" t="str">
        <f>IF(VLOOKUP(C16,DSNV!$C$8:$N$48,3,FALSE)=0,"",VLOOKUP(C16,DSNV!$C$8:$N$48,3,FALSE))</f>
        <v>Nguyễn Thu Hà</v>
      </c>
      <c r="E16" s="4" t="str">
        <f>IF(VLOOKUP(C16,DSNV!$C$8:$N$48,8,FALSE)="","",VLOOKUP(C16,DSNV!$C$8:$N$48,8,FALSE))</f>
        <v>Thành viên</v>
      </c>
      <c r="F16" s="6"/>
      <c r="G16" s="6"/>
      <c r="H16" s="6"/>
      <c r="I16" s="6"/>
      <c r="J16" s="6"/>
      <c r="K16" s="6"/>
      <c r="L16" s="6"/>
      <c r="M16" s="6">
        <v>2</v>
      </c>
      <c r="N16" s="6"/>
      <c r="O16" s="6"/>
      <c r="P16" s="6"/>
      <c r="Q16" s="6"/>
      <c r="R16" s="6"/>
      <c r="S16" s="6"/>
      <c r="T16" s="6">
        <v>2</v>
      </c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4">
        <f t="shared" si="2"/>
        <v>4</v>
      </c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>
        <v>2</v>
      </c>
      <c r="AW16" s="6"/>
      <c r="AX16" s="6"/>
      <c r="AY16" s="6"/>
      <c r="AZ16" s="6"/>
      <c r="BA16" s="6"/>
      <c r="BB16" s="6"/>
      <c r="BC16" s="6">
        <v>2</v>
      </c>
      <c r="BD16" s="6">
        <v>2</v>
      </c>
      <c r="BE16" s="6"/>
      <c r="BF16" s="6"/>
      <c r="BG16" s="6">
        <v>2</v>
      </c>
      <c r="BH16" s="6"/>
      <c r="BI16" s="6"/>
      <c r="BJ16" s="6">
        <v>2</v>
      </c>
      <c r="BK16" s="6"/>
      <c r="BL16" s="6"/>
      <c r="BM16" s="6"/>
      <c r="BN16" s="6">
        <v>2</v>
      </c>
      <c r="BO16" s="6"/>
      <c r="BP16" s="6"/>
      <c r="BQ16" s="4">
        <f t="shared" si="3"/>
        <v>12</v>
      </c>
      <c r="BR16" s="4"/>
      <c r="BS16" s="4"/>
      <c r="BT16" s="45">
        <f t="shared" si="4"/>
        <v>16</v>
      </c>
      <c r="BU16" s="7"/>
      <c r="BV16" s="2"/>
    </row>
    <row r="17" spans="2:74" x14ac:dyDescent="0.3">
      <c r="B17" s="2"/>
      <c r="C17" s="6">
        <v>4</v>
      </c>
      <c r="D17" s="5" t="str">
        <f>IF(VLOOKUP(C17,DSNV!$C$8:$N$48,3,FALSE)=0,"",VLOOKUP(C17,DSNV!$C$8:$N$48,3,FALSE))</f>
        <v>Trương Thị Phú Hiệp</v>
      </c>
      <c r="E17" s="4" t="str">
        <f>IF(VLOOKUP(C17,DSNV!$C$8:$N$48,8,FALSE)="","",VLOOKUP(C17,DSNV!$C$8:$N$48,8,FALSE))</f>
        <v>Thành viên</v>
      </c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>
        <v>2</v>
      </c>
      <c r="X17" s="6"/>
      <c r="Y17" s="6"/>
      <c r="Z17" s="6"/>
      <c r="AA17" s="6"/>
      <c r="AB17" s="6"/>
      <c r="AC17" s="6"/>
      <c r="AD17" s="6">
        <v>1</v>
      </c>
      <c r="AE17" s="6">
        <v>2</v>
      </c>
      <c r="AF17" s="6"/>
      <c r="AG17" s="6"/>
      <c r="AH17" s="6"/>
      <c r="AI17" s="6"/>
      <c r="AJ17" s="6"/>
      <c r="AK17" s="4">
        <f t="shared" si="2"/>
        <v>5</v>
      </c>
      <c r="AL17" s="6"/>
      <c r="AM17" s="6"/>
      <c r="AN17" s="6"/>
      <c r="AO17" s="6"/>
      <c r="AP17" s="6"/>
      <c r="AQ17" s="6"/>
      <c r="AR17" s="6"/>
      <c r="AS17" s="6"/>
      <c r="AT17" s="6">
        <v>2</v>
      </c>
      <c r="AU17" s="6"/>
      <c r="AV17" s="6"/>
      <c r="AW17" s="6">
        <v>2</v>
      </c>
      <c r="AX17" s="6"/>
      <c r="AY17" s="6"/>
      <c r="AZ17" s="6"/>
      <c r="BA17" s="6"/>
      <c r="BB17" s="6"/>
      <c r="BC17" s="6"/>
      <c r="BD17" s="6"/>
      <c r="BE17" s="6"/>
      <c r="BF17" s="6"/>
      <c r="BG17" s="6">
        <v>2</v>
      </c>
      <c r="BH17" s="6"/>
      <c r="BI17" s="6"/>
      <c r="BJ17" s="6"/>
      <c r="BK17" s="6"/>
      <c r="BL17" s="6"/>
      <c r="BM17" s="6"/>
      <c r="BN17" s="6"/>
      <c r="BO17" s="6"/>
      <c r="BP17" s="6"/>
      <c r="BQ17" s="4">
        <f t="shared" si="3"/>
        <v>6</v>
      </c>
      <c r="BR17" s="4"/>
      <c r="BS17" s="4"/>
      <c r="BT17" s="45">
        <f t="shared" si="4"/>
        <v>11</v>
      </c>
      <c r="BU17" s="7"/>
      <c r="BV17" s="2"/>
    </row>
    <row r="18" spans="2:74" x14ac:dyDescent="0.3">
      <c r="B18" s="2"/>
      <c r="C18" s="6">
        <v>5</v>
      </c>
      <c r="D18" s="5" t="str">
        <f>IF(VLOOKUP(C18,DSNV!$C$8:$N$48,3,FALSE)=0,"",VLOOKUP(C18,DSNV!$C$8:$N$48,3,FALSE))</f>
        <v>Nguyễn Thị Bích Hồng</v>
      </c>
      <c r="E18" s="4" t="str">
        <f>IF(VLOOKUP(C18,DSNV!$C$8:$N$48,8,FALSE)="","",VLOOKUP(C18,DSNV!$C$8:$N$48,8,FALSE))</f>
        <v>Thành viên</v>
      </c>
      <c r="F18" s="6"/>
      <c r="G18" s="6"/>
      <c r="H18" s="6"/>
      <c r="I18" s="6"/>
      <c r="J18" s="6"/>
      <c r="K18" s="6"/>
      <c r="L18" s="6"/>
      <c r="M18" s="6"/>
      <c r="N18" s="6"/>
      <c r="O18" s="6">
        <v>2</v>
      </c>
      <c r="P18" s="6"/>
      <c r="Q18" s="6"/>
      <c r="R18" s="6"/>
      <c r="S18" s="6"/>
      <c r="T18" s="6"/>
      <c r="U18" s="6"/>
      <c r="V18" s="6"/>
      <c r="W18" s="6"/>
      <c r="X18" s="6">
        <v>2</v>
      </c>
      <c r="Y18" s="6"/>
      <c r="Z18" s="6"/>
      <c r="AA18" s="6"/>
      <c r="AB18" s="6"/>
      <c r="AC18" s="6">
        <v>2</v>
      </c>
      <c r="AD18" s="6"/>
      <c r="AE18" s="6"/>
      <c r="AF18" s="6"/>
      <c r="AG18" s="6"/>
      <c r="AH18" s="6"/>
      <c r="AI18" s="6"/>
      <c r="AJ18" s="6"/>
      <c r="AK18" s="4">
        <f t="shared" si="2"/>
        <v>6</v>
      </c>
      <c r="AL18" s="6"/>
      <c r="AM18" s="6"/>
      <c r="AN18" s="6"/>
      <c r="AO18" s="6"/>
      <c r="AP18" s="6"/>
      <c r="AQ18" s="6"/>
      <c r="AR18" s="6"/>
      <c r="AS18" s="6"/>
      <c r="AT18" s="6"/>
      <c r="AU18" s="6">
        <v>1</v>
      </c>
      <c r="AV18" s="6"/>
      <c r="AW18" s="6">
        <v>2</v>
      </c>
      <c r="AX18" s="6"/>
      <c r="AY18" s="6"/>
      <c r="AZ18" s="6"/>
      <c r="BA18" s="6"/>
      <c r="BB18" s="6">
        <v>2</v>
      </c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4">
        <f t="shared" si="3"/>
        <v>5</v>
      </c>
      <c r="BR18" s="4"/>
      <c r="BS18" s="4"/>
      <c r="BT18" s="45">
        <f t="shared" si="4"/>
        <v>11</v>
      </c>
      <c r="BU18" s="7"/>
      <c r="BV18" s="2"/>
    </row>
    <row r="19" spans="2:74" x14ac:dyDescent="0.3">
      <c r="B19" s="2"/>
      <c r="C19" s="6">
        <v>6</v>
      </c>
      <c r="D19" s="5" t="str">
        <f>IF(VLOOKUP(C19,DSNV!$C$8:$N$48,3,FALSE)=0,"",VLOOKUP(C19,DSNV!$C$8:$N$48,3,FALSE))</f>
        <v>Phạm Thị Ngọc Hồng</v>
      </c>
      <c r="E19" s="4" t="str">
        <f>IF(VLOOKUP(C19,DSNV!$C$8:$N$48,8,FALSE)="","",VLOOKUP(C19,DSNV!$C$8:$N$48,8,FALSE))</f>
        <v>Thành viên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>
        <v>2</v>
      </c>
      <c r="AJ19" s="6"/>
      <c r="AK19" s="4">
        <f t="shared" si="2"/>
        <v>2</v>
      </c>
      <c r="AL19" s="6"/>
      <c r="AM19" s="6"/>
      <c r="AN19" s="6"/>
      <c r="AO19" s="6"/>
      <c r="AP19" s="6"/>
      <c r="AQ19" s="6"/>
      <c r="AR19" s="6"/>
      <c r="AS19" s="6">
        <v>2</v>
      </c>
      <c r="AT19" s="6"/>
      <c r="AU19" s="6"/>
      <c r="AV19" s="6"/>
      <c r="AW19" s="6"/>
      <c r="AX19" s="6"/>
      <c r="AY19" s="6"/>
      <c r="AZ19" s="6">
        <v>1</v>
      </c>
      <c r="BA19" s="6">
        <v>2</v>
      </c>
      <c r="BB19" s="6"/>
      <c r="BC19" s="6"/>
      <c r="BD19" s="6"/>
      <c r="BE19" s="6"/>
      <c r="BF19" s="6"/>
      <c r="BG19" s="6"/>
      <c r="BH19" s="6">
        <v>2</v>
      </c>
      <c r="BI19" s="6"/>
      <c r="BJ19" s="6"/>
      <c r="BK19" s="6"/>
      <c r="BL19" s="6"/>
      <c r="BM19" s="6"/>
      <c r="BN19" s="6">
        <v>1</v>
      </c>
      <c r="BO19" s="6"/>
      <c r="BP19" s="6"/>
      <c r="BQ19" s="4">
        <f t="shared" si="3"/>
        <v>8</v>
      </c>
      <c r="BR19" s="4">
        <f>BQ19/2</f>
        <v>4</v>
      </c>
      <c r="BS19" s="4"/>
      <c r="BT19" s="45">
        <f t="shared" si="4"/>
        <v>14</v>
      </c>
      <c r="BU19" s="7"/>
      <c r="BV19" s="2"/>
    </row>
    <row r="20" spans="2:74" x14ac:dyDescent="0.3">
      <c r="B20" s="2"/>
      <c r="C20" s="6">
        <v>7</v>
      </c>
      <c r="D20" s="5" t="str">
        <f>IF(VLOOKUP(C20,DSNV!$C$8:$N$48,3,FALSE)=0,"",VLOOKUP(C20,DSNV!$C$8:$N$48,3,FALSE))</f>
        <v>Phạm Thị Huệ</v>
      </c>
      <c r="E20" s="4" t="str">
        <f>IF(VLOOKUP(C20,DSNV!$C$8:$N$48,8,FALSE)="","",VLOOKUP(C20,DSNV!$C$8:$N$48,8,FALSE))</f>
        <v>Trưởng ban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>
        <v>1</v>
      </c>
      <c r="AD20" s="6"/>
      <c r="AE20" s="6"/>
      <c r="AF20" s="6"/>
      <c r="AG20" s="6"/>
      <c r="AH20" s="6"/>
      <c r="AI20" s="6"/>
      <c r="AJ20" s="6"/>
      <c r="AK20" s="4">
        <f t="shared" si="2"/>
        <v>1</v>
      </c>
      <c r="AL20" s="6"/>
      <c r="AM20" s="6"/>
      <c r="AN20" s="6"/>
      <c r="AO20" s="6"/>
      <c r="AP20" s="6"/>
      <c r="AQ20" s="6"/>
      <c r="AR20" s="6"/>
      <c r="AS20" s="6">
        <v>2</v>
      </c>
      <c r="AT20" s="6"/>
      <c r="AU20" s="6">
        <v>1</v>
      </c>
      <c r="AV20" s="6"/>
      <c r="AW20" s="6"/>
      <c r="AX20" s="6"/>
      <c r="AY20" s="6"/>
      <c r="AZ20" s="6">
        <v>4</v>
      </c>
      <c r="BA20" s="6"/>
      <c r="BB20" s="6">
        <v>1</v>
      </c>
      <c r="BC20" s="6"/>
      <c r="BD20" s="6"/>
      <c r="BE20" s="6"/>
      <c r="BF20" s="6"/>
      <c r="BG20" s="6">
        <v>2</v>
      </c>
      <c r="BH20" s="6"/>
      <c r="BI20" s="6">
        <v>1</v>
      </c>
      <c r="BJ20" s="6"/>
      <c r="BK20" s="6">
        <v>2</v>
      </c>
      <c r="BL20" s="6"/>
      <c r="BM20" s="6"/>
      <c r="BN20" s="6">
        <v>2</v>
      </c>
      <c r="BO20" s="6"/>
      <c r="BP20" s="6">
        <v>1</v>
      </c>
      <c r="BQ20" s="4">
        <f t="shared" si="3"/>
        <v>16</v>
      </c>
      <c r="BR20" s="4">
        <f t="shared" ref="BR20:BR21" si="5">BQ20/2</f>
        <v>8</v>
      </c>
      <c r="BS20" s="4">
        <v>5</v>
      </c>
      <c r="BT20" s="45">
        <f t="shared" si="4"/>
        <v>30</v>
      </c>
      <c r="BU20" s="7" t="s">
        <v>166</v>
      </c>
      <c r="BV20" s="2"/>
    </row>
    <row r="21" spans="2:74" x14ac:dyDescent="0.3">
      <c r="B21" s="2"/>
      <c r="C21" s="6">
        <v>8</v>
      </c>
      <c r="D21" s="5" t="str">
        <f>IF(VLOOKUP(C21,DSNV!$C$8:$N$48,3,FALSE)=0,"",VLOOKUP(C21,DSNV!$C$8:$N$48,3,FALSE))</f>
        <v>Nguyễn Thị Quỳnh Hương</v>
      </c>
      <c r="E21" s="4" t="str">
        <f>IF(VLOOKUP(C21,DSNV!$C$8:$N$48,8,FALSE)="","",VLOOKUP(C21,DSNV!$C$8:$N$48,8,FALSE))</f>
        <v>Trưởng ban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>
        <v>1</v>
      </c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>
        <v>1</v>
      </c>
      <c r="AK21" s="4">
        <f t="shared" si="2"/>
        <v>2</v>
      </c>
      <c r="AL21" s="6"/>
      <c r="AM21" s="6"/>
      <c r="AN21" s="6"/>
      <c r="AO21" s="6"/>
      <c r="AP21" s="6"/>
      <c r="AQ21" s="6"/>
      <c r="AR21" s="6"/>
      <c r="AS21" s="6">
        <v>1</v>
      </c>
      <c r="AT21" s="6"/>
      <c r="AU21" s="6">
        <v>3</v>
      </c>
      <c r="AV21" s="6"/>
      <c r="AW21" s="6">
        <v>2</v>
      </c>
      <c r="AX21" s="6"/>
      <c r="AY21" s="6"/>
      <c r="AZ21" s="6">
        <v>2</v>
      </c>
      <c r="BA21" s="6"/>
      <c r="BB21" s="6"/>
      <c r="BC21" s="6"/>
      <c r="BD21" s="6">
        <v>2</v>
      </c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>
        <v>2</v>
      </c>
      <c r="BQ21" s="4">
        <f t="shared" si="3"/>
        <v>12</v>
      </c>
      <c r="BR21" s="4">
        <f t="shared" si="5"/>
        <v>6</v>
      </c>
      <c r="BS21" s="4"/>
      <c r="BT21" s="45">
        <f t="shared" si="4"/>
        <v>20</v>
      </c>
      <c r="BU21" s="7"/>
      <c r="BV21" s="2"/>
    </row>
    <row r="22" spans="2:74" x14ac:dyDescent="0.3">
      <c r="B22" s="2"/>
      <c r="C22" s="6">
        <v>9</v>
      </c>
      <c r="D22" s="5" t="str">
        <f>IF(VLOOKUP(C22,DSNV!$C$8:$N$48,3,FALSE)=0,"",VLOOKUP(C22,DSNV!$C$8:$N$48,3,FALSE))</f>
        <v>Huỳnh Thanh Huyên</v>
      </c>
      <c r="E22" s="4" t="str">
        <f>IF(VLOOKUP(C22,DSNV!$C$8:$N$48,8,FALSE)="","",VLOOKUP(C22,DSNV!$C$8:$N$48,8,FALSE))</f>
        <v>Thành viên</v>
      </c>
      <c r="F22" s="6"/>
      <c r="G22" s="6"/>
      <c r="H22" s="6"/>
      <c r="I22" s="6"/>
      <c r="J22" s="6"/>
      <c r="K22" s="6"/>
      <c r="L22" s="6"/>
      <c r="M22" s="6"/>
      <c r="N22" s="6">
        <v>2</v>
      </c>
      <c r="O22" s="6"/>
      <c r="P22" s="6"/>
      <c r="Q22" s="6"/>
      <c r="R22" s="6"/>
      <c r="S22" s="6"/>
      <c r="T22" s="6"/>
      <c r="U22" s="6"/>
      <c r="V22" s="6">
        <v>1</v>
      </c>
      <c r="W22" s="6"/>
      <c r="X22" s="6"/>
      <c r="Y22" s="6"/>
      <c r="Z22" s="6"/>
      <c r="AA22" s="6"/>
      <c r="AB22" s="6"/>
      <c r="AC22" s="6">
        <v>1</v>
      </c>
      <c r="AD22" s="6"/>
      <c r="AE22" s="6">
        <v>1</v>
      </c>
      <c r="AF22" s="6"/>
      <c r="AG22" s="6"/>
      <c r="AH22" s="6"/>
      <c r="AI22" s="6"/>
      <c r="AJ22" s="6">
        <v>1</v>
      </c>
      <c r="AK22" s="4">
        <f t="shared" si="2"/>
        <v>6</v>
      </c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>
        <v>1</v>
      </c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>
        <v>2</v>
      </c>
      <c r="BI22" s="6">
        <v>1</v>
      </c>
      <c r="BJ22" s="6"/>
      <c r="BK22" s="6"/>
      <c r="BL22" s="6"/>
      <c r="BM22" s="6"/>
      <c r="BN22" s="6"/>
      <c r="BO22" s="6">
        <v>2</v>
      </c>
      <c r="BP22" s="6">
        <v>1</v>
      </c>
      <c r="BQ22" s="4">
        <f t="shared" si="3"/>
        <v>7</v>
      </c>
      <c r="BR22" s="4"/>
      <c r="BS22" s="4"/>
      <c r="BT22" s="45">
        <f t="shared" si="4"/>
        <v>13</v>
      </c>
      <c r="BU22" s="7"/>
      <c r="BV22" s="2"/>
    </row>
    <row r="23" spans="2:74" x14ac:dyDescent="0.3">
      <c r="B23" s="2"/>
      <c r="C23" s="6">
        <v>10</v>
      </c>
      <c r="D23" s="5" t="str">
        <f>IF(VLOOKUP(C23,DSNV!$C$8:$N$48,3,FALSE)=0,"",VLOOKUP(C23,DSNV!$C$8:$N$48,3,FALSE))</f>
        <v>Lê Hữu Di Mi</v>
      </c>
      <c r="E23" s="4" t="str">
        <f>IF(VLOOKUP(C23,DSNV!$C$8:$N$48,8,FALSE)="","",VLOOKUP(C23,DSNV!$C$8:$N$48,8,FALSE))</f>
        <v>Thành viên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>
        <v>2</v>
      </c>
      <c r="Q23" s="6"/>
      <c r="R23" s="6"/>
      <c r="S23" s="6"/>
      <c r="T23" s="6">
        <v>1</v>
      </c>
      <c r="U23" s="6"/>
      <c r="V23" s="6">
        <v>1</v>
      </c>
      <c r="W23" s="6"/>
      <c r="X23" s="6"/>
      <c r="Y23" s="6"/>
      <c r="Z23" s="6"/>
      <c r="AA23" s="6">
        <v>1</v>
      </c>
      <c r="AB23" s="6"/>
      <c r="AC23" s="6"/>
      <c r="AD23" s="6"/>
      <c r="AE23" s="6"/>
      <c r="AF23" s="6"/>
      <c r="AG23" s="6"/>
      <c r="AH23" s="6">
        <v>1</v>
      </c>
      <c r="AI23" s="6"/>
      <c r="AJ23" s="6"/>
      <c r="AK23" s="4">
        <f t="shared" si="2"/>
        <v>6</v>
      </c>
      <c r="AL23" s="6"/>
      <c r="AM23" s="6"/>
      <c r="AN23" s="6"/>
      <c r="AO23" s="6"/>
      <c r="AP23" s="6"/>
      <c r="AQ23" s="6"/>
      <c r="AR23" s="6"/>
      <c r="AS23" s="6">
        <v>1</v>
      </c>
      <c r="AT23" s="6">
        <v>2</v>
      </c>
      <c r="AU23" s="6"/>
      <c r="AV23" s="6"/>
      <c r="AW23" s="6"/>
      <c r="AX23" s="6"/>
      <c r="AY23" s="6"/>
      <c r="AZ23" s="6"/>
      <c r="BA23" s="6">
        <v>2</v>
      </c>
      <c r="BB23" s="6"/>
      <c r="BC23" s="6"/>
      <c r="BD23" s="6"/>
      <c r="BE23" s="6">
        <v>4</v>
      </c>
      <c r="BF23" s="6"/>
      <c r="BG23" s="6"/>
      <c r="BH23" s="6">
        <v>2</v>
      </c>
      <c r="BI23" s="6"/>
      <c r="BJ23" s="6"/>
      <c r="BK23" s="6">
        <v>1</v>
      </c>
      <c r="BL23" s="6"/>
      <c r="BM23" s="6"/>
      <c r="BN23" s="6"/>
      <c r="BO23" s="6">
        <v>2</v>
      </c>
      <c r="BP23" s="6"/>
      <c r="BQ23" s="4">
        <f t="shared" si="3"/>
        <v>14</v>
      </c>
      <c r="BR23" s="4"/>
      <c r="BS23" s="4"/>
      <c r="BT23" s="45">
        <f t="shared" si="4"/>
        <v>20</v>
      </c>
      <c r="BU23" s="7"/>
      <c r="BV23" s="2"/>
    </row>
    <row r="24" spans="2:74" x14ac:dyDescent="0.3">
      <c r="B24" s="2"/>
      <c r="C24" s="6">
        <v>11</v>
      </c>
      <c r="D24" s="5" t="str">
        <f>IF(VLOOKUP(C24,DSNV!$C$8:$N$48,3,FALSE)=0,"",VLOOKUP(C24,DSNV!$C$8:$N$48,3,FALSE))</f>
        <v>Nguyễn Nhựt Minh</v>
      </c>
      <c r="E24" s="4" t="str">
        <f>IF(VLOOKUP(C24,DSNV!$C$8:$N$48,8,FALSE)="","",VLOOKUP(C24,DSNV!$C$8:$N$48,8,FALSE))</f>
        <v>Trưởng ban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>
        <v>2</v>
      </c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4">
        <f t="shared" si="2"/>
        <v>2</v>
      </c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>
        <v>2</v>
      </c>
      <c r="AW24" s="6"/>
      <c r="AX24" s="6"/>
      <c r="AY24" s="6"/>
      <c r="AZ24" s="6"/>
      <c r="BA24" s="6"/>
      <c r="BB24" s="6"/>
      <c r="BC24" s="6">
        <v>2</v>
      </c>
      <c r="BD24" s="6"/>
      <c r="BE24" s="6">
        <v>4</v>
      </c>
      <c r="BF24" s="6"/>
      <c r="BG24" s="6"/>
      <c r="BH24" s="6">
        <v>1</v>
      </c>
      <c r="BI24" s="6"/>
      <c r="BJ24" s="6"/>
      <c r="BK24" s="6"/>
      <c r="BL24" s="6"/>
      <c r="BM24" s="6"/>
      <c r="BN24" s="6"/>
      <c r="BO24" s="6">
        <v>2</v>
      </c>
      <c r="BP24" s="6"/>
      <c r="BQ24" s="4">
        <f t="shared" si="3"/>
        <v>11</v>
      </c>
      <c r="BR24" s="4">
        <f>BQ24/2</f>
        <v>5.5</v>
      </c>
      <c r="BS24" s="4"/>
      <c r="BT24" s="45">
        <f t="shared" si="4"/>
        <v>18.5</v>
      </c>
      <c r="BU24" s="7"/>
      <c r="BV24" s="2"/>
    </row>
    <row r="25" spans="2:74" x14ac:dyDescent="0.3">
      <c r="B25" s="2"/>
      <c r="C25" s="6">
        <v>12</v>
      </c>
      <c r="D25" s="5" t="str">
        <f>IF(VLOOKUP(C25,DSNV!$C$8:$N$48,3,FALSE)=0,"",VLOOKUP(C25,DSNV!$C$8:$N$48,3,FALSE))</f>
        <v>Lê Thảo Nguyên</v>
      </c>
      <c r="E25" s="4" t="str">
        <f>IF(VLOOKUP(C25,DSNV!$C$8:$N$48,8,FALSE)="","",VLOOKUP(C25,DSNV!$C$8:$N$48,8,FALSE))</f>
        <v>Thành viên</v>
      </c>
      <c r="F25" s="6"/>
      <c r="G25" s="6"/>
      <c r="H25" s="6"/>
      <c r="I25" s="6"/>
      <c r="J25" s="6"/>
      <c r="K25" s="6"/>
      <c r="L25" s="6"/>
      <c r="M25" s="6"/>
      <c r="N25" s="6"/>
      <c r="O25" s="6">
        <v>1</v>
      </c>
      <c r="P25" s="6"/>
      <c r="Q25" s="6">
        <v>1</v>
      </c>
      <c r="R25" s="6"/>
      <c r="S25" s="6"/>
      <c r="T25" s="6"/>
      <c r="U25" s="6"/>
      <c r="V25" s="6"/>
      <c r="W25" s="6"/>
      <c r="X25" s="6">
        <v>2</v>
      </c>
      <c r="Y25" s="6"/>
      <c r="Z25" s="6"/>
      <c r="AA25" s="6"/>
      <c r="AB25" s="6"/>
      <c r="AC25" s="6"/>
      <c r="AD25" s="6"/>
      <c r="AE25" s="6"/>
      <c r="AF25" s="6"/>
      <c r="AG25" s="6"/>
      <c r="AH25" s="6">
        <v>1</v>
      </c>
      <c r="AI25" s="6"/>
      <c r="AJ25" s="6"/>
      <c r="AK25" s="4">
        <f t="shared" si="2"/>
        <v>5</v>
      </c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>
        <v>1</v>
      </c>
      <c r="AX25" s="6">
        <v>2</v>
      </c>
      <c r="AY25" s="6"/>
      <c r="AZ25" s="6">
        <v>1</v>
      </c>
      <c r="BA25" s="6"/>
      <c r="BB25" s="6">
        <v>1</v>
      </c>
      <c r="BC25" s="6"/>
      <c r="BD25" s="6"/>
      <c r="BE25" s="6"/>
      <c r="BF25" s="6"/>
      <c r="BG25" s="6"/>
      <c r="BH25" s="6"/>
      <c r="BI25" s="6"/>
      <c r="BJ25" s="6"/>
      <c r="BK25" s="6">
        <v>2</v>
      </c>
      <c r="BL25" s="6"/>
      <c r="BM25" s="6"/>
      <c r="BN25" s="6"/>
      <c r="BO25" s="6"/>
      <c r="BP25" s="6">
        <v>1</v>
      </c>
      <c r="BQ25" s="4">
        <f t="shared" si="3"/>
        <v>8</v>
      </c>
      <c r="BR25" s="4">
        <f>BQ25/2</f>
        <v>4</v>
      </c>
      <c r="BS25" s="4"/>
      <c r="BT25" s="45">
        <f t="shared" si="4"/>
        <v>17</v>
      </c>
      <c r="BU25" s="7"/>
      <c r="BV25" s="2"/>
    </row>
    <row r="26" spans="2:74" x14ac:dyDescent="0.3">
      <c r="B26" s="2"/>
      <c r="C26" s="6">
        <v>13</v>
      </c>
      <c r="D26" s="5" t="str">
        <f>IF(VLOOKUP(C26,DSNV!$C$8:$N$48,3,FALSE)=0,"",VLOOKUP(C26,DSNV!$C$8:$N$48,3,FALSE))</f>
        <v>Võ Thị Xuân Nữ</v>
      </c>
      <c r="E26" s="4" t="str">
        <f>IF(VLOOKUP(C26,DSNV!$C$8:$N$48,8,FALSE)="","",VLOOKUP(C26,DSNV!$C$8:$N$48,8,FALSE))</f>
        <v>Thành viên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>
        <v>2</v>
      </c>
      <c r="W26" s="6"/>
      <c r="X26" s="6"/>
      <c r="Y26" s="6"/>
      <c r="Z26" s="6"/>
      <c r="AA26" s="6"/>
      <c r="AB26" s="6"/>
      <c r="AC26" s="6"/>
      <c r="AD26" s="6">
        <v>2</v>
      </c>
      <c r="AE26" s="6"/>
      <c r="AF26" s="6"/>
      <c r="AG26" s="6"/>
      <c r="AH26" s="6"/>
      <c r="AI26" s="6"/>
      <c r="AJ26" s="6"/>
      <c r="AK26" s="4">
        <f t="shared" si="2"/>
        <v>4</v>
      </c>
      <c r="AL26" s="6"/>
      <c r="AM26" s="6"/>
      <c r="AN26" s="6"/>
      <c r="AO26" s="6"/>
      <c r="AP26" s="6"/>
      <c r="AQ26" s="6"/>
      <c r="AR26" s="6"/>
      <c r="AS26" s="6"/>
      <c r="AT26" s="6"/>
      <c r="AU26" s="6">
        <v>2</v>
      </c>
      <c r="AV26" s="6"/>
      <c r="AW26" s="6"/>
      <c r="AX26" s="6"/>
      <c r="AY26" s="6"/>
      <c r="AZ26" s="6"/>
      <c r="BA26" s="6"/>
      <c r="BB26" s="6"/>
      <c r="BC26" s="6"/>
      <c r="BD26" s="6">
        <v>2</v>
      </c>
      <c r="BE26" s="6"/>
      <c r="BF26" s="6"/>
      <c r="BG26" s="6"/>
      <c r="BH26" s="6"/>
      <c r="BI26" s="6"/>
      <c r="BJ26" s="6"/>
      <c r="BK26" s="6">
        <v>3</v>
      </c>
      <c r="BL26" s="6"/>
      <c r="BM26" s="6"/>
      <c r="BN26" s="6">
        <v>1</v>
      </c>
      <c r="BO26" s="6"/>
      <c r="BP26" s="6"/>
      <c r="BQ26" s="4">
        <f t="shared" si="3"/>
        <v>8</v>
      </c>
      <c r="BR26" s="4"/>
      <c r="BS26" s="4"/>
      <c r="BT26" s="45">
        <f t="shared" si="4"/>
        <v>12</v>
      </c>
      <c r="BU26" s="7"/>
      <c r="BV26" s="2"/>
    </row>
    <row r="27" spans="2:74" x14ac:dyDescent="0.3">
      <c r="B27" s="2"/>
      <c r="C27" s="6">
        <v>14</v>
      </c>
      <c r="D27" s="5" t="str">
        <f>IF(VLOOKUP(C27,DSNV!$C$8:$N$48,3,FALSE)=0,"",VLOOKUP(C27,DSNV!$C$8:$N$48,3,FALSE))</f>
        <v>Đỗ Thị Lan Phương</v>
      </c>
      <c r="E27" s="4" t="str">
        <f>IF(VLOOKUP(C27,DSNV!$C$8:$N$48,8,FALSE)="","",VLOOKUP(C27,DSNV!$C$8:$N$48,8,FALSE))</f>
        <v>Thành viên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>
        <v>2</v>
      </c>
      <c r="X27" s="6"/>
      <c r="Y27" s="6"/>
      <c r="Z27" s="6"/>
      <c r="AA27" s="6"/>
      <c r="AB27" s="6"/>
      <c r="AC27" s="6"/>
      <c r="AD27" s="6">
        <v>1</v>
      </c>
      <c r="AE27" s="6"/>
      <c r="AF27" s="6"/>
      <c r="AG27" s="6"/>
      <c r="AH27" s="6"/>
      <c r="AI27" s="6"/>
      <c r="AJ27" s="6"/>
      <c r="AK27" s="4">
        <f t="shared" si="2"/>
        <v>3</v>
      </c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>
        <v>2</v>
      </c>
      <c r="AW27" s="6"/>
      <c r="AX27" s="6"/>
      <c r="AY27" s="6"/>
      <c r="AZ27" s="6"/>
      <c r="BA27" s="6"/>
      <c r="BB27" s="6"/>
      <c r="BC27" s="6"/>
      <c r="BD27" s="6">
        <v>2</v>
      </c>
      <c r="BE27" s="6"/>
      <c r="BF27" s="6"/>
      <c r="BG27" s="6"/>
      <c r="BH27" s="6"/>
      <c r="BI27" s="6">
        <v>1</v>
      </c>
      <c r="BJ27" s="6"/>
      <c r="BK27" s="6"/>
      <c r="BL27" s="6"/>
      <c r="BM27" s="6"/>
      <c r="BN27" s="6"/>
      <c r="BO27" s="6"/>
      <c r="BP27" s="6"/>
      <c r="BQ27" s="4">
        <f t="shared" si="3"/>
        <v>5</v>
      </c>
      <c r="BR27" s="4"/>
      <c r="BS27" s="4"/>
      <c r="BT27" s="45">
        <f t="shared" si="4"/>
        <v>8</v>
      </c>
      <c r="BU27" s="7"/>
      <c r="BV27" s="2"/>
    </row>
    <row r="28" spans="2:74" x14ac:dyDescent="0.3">
      <c r="B28" s="2"/>
      <c r="C28" s="6">
        <v>15</v>
      </c>
      <c r="D28" s="5" t="str">
        <f>IF(VLOOKUP(C28,DSNV!$C$8:$N$48,3,FALSE)=0,"",VLOOKUP(C28,DSNV!$C$8:$N$48,3,FALSE))</f>
        <v>Nguyễn Thị Nhã Quyên</v>
      </c>
      <c r="E28" s="4" t="str">
        <f>IF(VLOOKUP(C28,DSNV!$C$8:$N$48,8,FALSE)="","",VLOOKUP(C28,DSNV!$C$8:$N$48,8,FALSE))</f>
        <v>Thành viên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4">
        <f t="shared" si="2"/>
        <v>0</v>
      </c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4">
        <f t="shared" si="3"/>
        <v>0</v>
      </c>
      <c r="BR28" s="4">
        <f t="shared" ref="BR28:BR33" si="6">BQ28/2</f>
        <v>0</v>
      </c>
      <c r="BS28" s="4"/>
      <c r="BT28" s="45">
        <f t="shared" si="4"/>
        <v>0</v>
      </c>
      <c r="BU28" s="7"/>
      <c r="BV28" s="2"/>
    </row>
    <row r="29" spans="2:74" x14ac:dyDescent="0.3">
      <c r="B29" s="2"/>
      <c r="C29" s="6">
        <v>16</v>
      </c>
      <c r="D29" s="5" t="str">
        <f>IF(VLOOKUP(C29,DSNV!$C$8:$N$48,3,FALSE)=0,"",VLOOKUP(C29,DSNV!$C$8:$N$48,3,FALSE))</f>
        <v>Nguyễn Đức Vĩnh Thắng</v>
      </c>
      <c r="E29" s="4" t="str">
        <f>IF(VLOOKUP(C29,DSNV!$C$8:$N$48,8,FALSE)="","",VLOOKUP(C29,DSNV!$C$8:$N$48,8,FALSE))</f>
        <v>Trưởng ban</v>
      </c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>
        <v>2</v>
      </c>
      <c r="AI29" s="6"/>
      <c r="AJ29" s="6"/>
      <c r="AK29" s="4">
        <f t="shared" si="2"/>
        <v>2</v>
      </c>
      <c r="AL29" s="6"/>
      <c r="AM29" s="6"/>
      <c r="AN29" s="6"/>
      <c r="AO29" s="6"/>
      <c r="AP29" s="6"/>
      <c r="AQ29" s="6"/>
      <c r="AR29" s="6"/>
      <c r="AS29" s="6">
        <v>2</v>
      </c>
      <c r="AT29" s="6"/>
      <c r="AU29" s="6"/>
      <c r="AV29" s="6"/>
      <c r="AW29" s="6"/>
      <c r="AX29" s="6"/>
      <c r="AY29" s="6"/>
      <c r="AZ29" s="6"/>
      <c r="BA29" s="6"/>
      <c r="BB29" s="6">
        <v>2</v>
      </c>
      <c r="BC29" s="6"/>
      <c r="BD29" s="6"/>
      <c r="BE29" s="6"/>
      <c r="BF29" s="6"/>
      <c r="BG29" s="6">
        <v>2</v>
      </c>
      <c r="BH29" s="6"/>
      <c r="BI29" s="6">
        <v>2</v>
      </c>
      <c r="BJ29" s="6"/>
      <c r="BK29" s="6"/>
      <c r="BL29" s="6"/>
      <c r="BM29" s="6"/>
      <c r="BN29" s="6"/>
      <c r="BO29" s="6"/>
      <c r="BP29" s="6">
        <v>2</v>
      </c>
      <c r="BQ29" s="4">
        <f t="shared" si="3"/>
        <v>10</v>
      </c>
      <c r="BR29" s="4">
        <f t="shared" si="6"/>
        <v>5</v>
      </c>
      <c r="BS29" s="4"/>
      <c r="BT29" s="45">
        <f t="shared" si="4"/>
        <v>17</v>
      </c>
      <c r="BU29" s="7"/>
      <c r="BV29" s="2"/>
    </row>
    <row r="30" spans="2:74" x14ac:dyDescent="0.3">
      <c r="B30" s="2"/>
      <c r="C30" s="6">
        <v>17</v>
      </c>
      <c r="D30" s="5" t="str">
        <f>IF(VLOOKUP(C30,DSNV!$C$8:$N$48,3,FALSE)=0,"",VLOOKUP(C30,DSNV!$C$8:$N$48,3,FALSE))</f>
        <v>Nguyễn Thành Tiến</v>
      </c>
      <c r="E30" s="4" t="str">
        <f>IF(VLOOKUP(C30,DSNV!$C$8:$N$48,8,FALSE)="","",VLOOKUP(C30,DSNV!$C$8:$N$48,8,FALSE))</f>
        <v>Thành viên</v>
      </c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>
        <v>2</v>
      </c>
      <c r="V30" s="6"/>
      <c r="W30" s="6"/>
      <c r="X30" s="6"/>
      <c r="Y30" s="6"/>
      <c r="Z30" s="6"/>
      <c r="AA30" s="6">
        <v>2</v>
      </c>
      <c r="AB30" s="6"/>
      <c r="AC30" s="6"/>
      <c r="AD30" s="6"/>
      <c r="AE30" s="6">
        <v>1</v>
      </c>
      <c r="AF30" s="6"/>
      <c r="AG30" s="6"/>
      <c r="AH30" s="6"/>
      <c r="AI30" s="6"/>
      <c r="AJ30" s="6"/>
      <c r="AK30" s="4">
        <f t="shared" si="2"/>
        <v>5</v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>
        <v>2</v>
      </c>
      <c r="BK30" s="6"/>
      <c r="BL30" s="6"/>
      <c r="BM30" s="6"/>
      <c r="BN30" s="6">
        <v>2</v>
      </c>
      <c r="BO30" s="6"/>
      <c r="BP30" s="6"/>
      <c r="BQ30" s="4">
        <f t="shared" si="3"/>
        <v>4</v>
      </c>
      <c r="BR30" s="4">
        <f t="shared" si="6"/>
        <v>2</v>
      </c>
      <c r="BS30" s="4"/>
      <c r="BT30" s="45">
        <f t="shared" si="4"/>
        <v>11</v>
      </c>
      <c r="BU30" s="7"/>
      <c r="BV30" s="2"/>
    </row>
    <row r="31" spans="2:74" x14ac:dyDescent="0.3">
      <c r="B31" s="2"/>
      <c r="C31" s="6">
        <v>18</v>
      </c>
      <c r="D31" s="5" t="str">
        <f>IF(VLOOKUP(C31,DSNV!$C$8:$N$48,3,FALSE)=0,"",VLOOKUP(C31,DSNV!$C$8:$N$48,3,FALSE))</f>
        <v>Trần Thị Trúc</v>
      </c>
      <c r="E31" s="4" t="str">
        <f>IF(VLOOKUP(C31,DSNV!$C$8:$N$48,8,FALSE)="","",VLOOKUP(C31,DSNV!$C$8:$N$48,8,FALSE))</f>
        <v>Thành viên</v>
      </c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>
        <v>1</v>
      </c>
      <c r="AK31" s="4">
        <f t="shared" si="2"/>
        <v>1</v>
      </c>
      <c r="AL31" s="6"/>
      <c r="AM31" s="6"/>
      <c r="AN31" s="6"/>
      <c r="AO31" s="6"/>
      <c r="AP31" s="6"/>
      <c r="AQ31" s="6"/>
      <c r="AR31" s="6"/>
      <c r="AS31" s="6"/>
      <c r="AT31" s="6">
        <v>2</v>
      </c>
      <c r="AU31" s="6"/>
      <c r="AV31" s="6"/>
      <c r="AW31" s="6"/>
      <c r="AX31" s="6"/>
      <c r="AY31" s="6"/>
      <c r="AZ31" s="6"/>
      <c r="BA31" s="6">
        <v>2</v>
      </c>
      <c r="BB31" s="6"/>
      <c r="BC31" s="6"/>
      <c r="BD31" s="6"/>
      <c r="BE31" s="6"/>
      <c r="BF31" s="6"/>
      <c r="BG31" s="6"/>
      <c r="BH31" s="6"/>
      <c r="BI31" s="6">
        <v>1</v>
      </c>
      <c r="BJ31" s="6">
        <v>2</v>
      </c>
      <c r="BK31" s="6"/>
      <c r="BL31" s="6"/>
      <c r="BM31" s="6"/>
      <c r="BN31" s="6"/>
      <c r="BO31" s="6"/>
      <c r="BP31" s="6"/>
      <c r="BQ31" s="4">
        <f t="shared" si="3"/>
        <v>7</v>
      </c>
      <c r="BR31" s="4">
        <f t="shared" si="6"/>
        <v>3.5</v>
      </c>
      <c r="BS31" s="4"/>
      <c r="BT31" s="45">
        <f t="shared" si="4"/>
        <v>11.5</v>
      </c>
      <c r="BU31" s="7"/>
      <c r="BV31" s="2"/>
    </row>
    <row r="32" spans="2:74" x14ac:dyDescent="0.3">
      <c r="B32" s="2"/>
      <c r="C32" s="6">
        <v>19</v>
      </c>
      <c r="D32" s="5" t="str">
        <f>IF(VLOOKUP(C32,DSNV!$C$8:$N$48,3,FALSE)=0,"",VLOOKUP(C32,DSNV!$C$8:$N$48,3,FALSE))</f>
        <v>Bùi Hoàng Trung</v>
      </c>
      <c r="E32" s="4" t="str">
        <f>IF(VLOOKUP(C32,DSNV!$C$8:$N$48,8,FALSE)="","",VLOOKUP(C32,DSNV!$C$8:$N$48,8,FALSE))</f>
        <v>Thành viên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4">
        <f t="shared" si="2"/>
        <v>0</v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4">
        <f t="shared" si="3"/>
        <v>0</v>
      </c>
      <c r="BR32" s="4">
        <f t="shared" si="6"/>
        <v>0</v>
      </c>
      <c r="BS32" s="4"/>
      <c r="BT32" s="45">
        <f t="shared" si="4"/>
        <v>0</v>
      </c>
      <c r="BU32" s="7"/>
      <c r="BV32" s="2"/>
    </row>
    <row r="33" spans="2:74" ht="15" thickBot="1" x14ac:dyDescent="0.35">
      <c r="B33" s="2"/>
      <c r="C33" s="6">
        <v>20</v>
      </c>
      <c r="D33" s="5" t="str">
        <f>IF(VLOOKUP(C33,DSNV!$C$8:$N$48,3,FALSE)=0,"",VLOOKUP(C33,DSNV!$C$8:$N$48,3,FALSE))</f>
        <v>Ngô Trúc Tường Vy</v>
      </c>
      <c r="E33" s="4" t="str">
        <f>IF(VLOOKUP(C33,DSNV!$C$8:$N$48,8,FALSE)="","",VLOOKUP(C33,DSNV!$C$8:$N$48,8,FALSE))</f>
        <v>Trưởng ban</v>
      </c>
      <c r="F33" s="6"/>
      <c r="G33" s="6"/>
      <c r="H33" s="6"/>
      <c r="I33" s="6"/>
      <c r="J33" s="6"/>
      <c r="K33" s="6"/>
      <c r="L33" s="6"/>
      <c r="M33" s="6">
        <v>1</v>
      </c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>
        <v>2</v>
      </c>
      <c r="AC33" s="6"/>
      <c r="AD33" s="6"/>
      <c r="AE33" s="6"/>
      <c r="AF33" s="6"/>
      <c r="AG33" s="6"/>
      <c r="AH33" s="6"/>
      <c r="AI33" s="6"/>
      <c r="AJ33" s="6">
        <v>1</v>
      </c>
      <c r="AK33" s="4">
        <f t="shared" si="2"/>
        <v>4</v>
      </c>
      <c r="AL33" s="6"/>
      <c r="AM33" s="6"/>
      <c r="AN33" s="6"/>
      <c r="AO33" s="6"/>
      <c r="AP33" s="6"/>
      <c r="AQ33" s="6"/>
      <c r="AR33" s="6"/>
      <c r="AS33" s="6"/>
      <c r="AT33" s="6">
        <v>2</v>
      </c>
      <c r="AU33" s="6"/>
      <c r="AV33" s="6"/>
      <c r="AW33" s="6"/>
      <c r="AX33" s="6"/>
      <c r="AY33" s="6"/>
      <c r="AZ33" s="6"/>
      <c r="BA33" s="6"/>
      <c r="BB33" s="6"/>
      <c r="BC33" s="6">
        <v>2</v>
      </c>
      <c r="BD33" s="6"/>
      <c r="BE33" s="6"/>
      <c r="BF33" s="6"/>
      <c r="BG33" s="6"/>
      <c r="BH33" s="6"/>
      <c r="BI33" s="6">
        <v>2</v>
      </c>
      <c r="BJ33" s="6"/>
      <c r="BK33" s="6"/>
      <c r="BL33" s="6"/>
      <c r="BM33" s="6"/>
      <c r="BN33" s="6"/>
      <c r="BO33" s="6"/>
      <c r="BP33" s="6"/>
      <c r="BQ33" s="4">
        <f t="shared" si="3"/>
        <v>6</v>
      </c>
      <c r="BR33" s="4">
        <f t="shared" si="6"/>
        <v>3</v>
      </c>
      <c r="BS33" s="4"/>
      <c r="BT33" s="45">
        <f t="shared" si="4"/>
        <v>13</v>
      </c>
      <c r="BU33" s="7"/>
      <c r="BV33" s="2"/>
    </row>
    <row r="34" spans="2:74" ht="15" hidden="1" thickBot="1" x14ac:dyDescent="0.35">
      <c r="B34" s="2"/>
      <c r="C34" s="6">
        <v>21</v>
      </c>
      <c r="D34" s="5" t="str">
        <f>IF(VLOOKUP(C34,DSNV!$C$8:$N$48,3,FALSE)=0,"",VLOOKUP(C34,DSNV!$C$8:$N$48,3,FALSE))</f>
        <v/>
      </c>
      <c r="E34" s="4" t="str">
        <f>IF(VLOOKUP(C34,DSNV!$C$8:$N$48,8,FALSE)="","",VLOOKUP(C34,DSNV!$C$8:$N$48,8,FALSE))</f>
        <v/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4">
        <f t="shared" si="2"/>
        <v>0</v>
      </c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4">
        <f t="shared" si="3"/>
        <v>0</v>
      </c>
      <c r="BR34" s="4"/>
      <c r="BS34" s="4"/>
      <c r="BT34" s="45">
        <f t="shared" si="4"/>
        <v>0</v>
      </c>
      <c r="BU34" s="7"/>
      <c r="BV34" s="2"/>
    </row>
    <row r="35" spans="2:74" ht="15" hidden="1" thickBot="1" x14ac:dyDescent="0.35">
      <c r="B35" s="2"/>
      <c r="C35" s="6">
        <v>22</v>
      </c>
      <c r="D35" s="5" t="str">
        <f>IF(VLOOKUP(C35,DSNV!$C$8:$N$48,3,FALSE)=0,"",VLOOKUP(C35,DSNV!$C$8:$N$48,3,FALSE))</f>
        <v/>
      </c>
      <c r="E35" s="4" t="str">
        <f>IF(VLOOKUP(C35,DSNV!$C$8:$N$48,8,FALSE)="","",VLOOKUP(C35,DSNV!$C$8:$N$48,8,FALSE))</f>
        <v/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4">
        <f t="shared" si="2"/>
        <v>0</v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4">
        <f t="shared" si="3"/>
        <v>0</v>
      </c>
      <c r="BR35" s="4"/>
      <c r="BS35" s="4"/>
      <c r="BT35" s="45">
        <f t="shared" si="4"/>
        <v>0</v>
      </c>
      <c r="BU35" s="7"/>
      <c r="BV35" s="2"/>
    </row>
    <row r="36" spans="2:74" ht="15" hidden="1" thickBot="1" x14ac:dyDescent="0.35">
      <c r="B36" s="2"/>
      <c r="C36" s="6">
        <v>23</v>
      </c>
      <c r="D36" s="5" t="str">
        <f>IF(VLOOKUP(C36,DSNV!$C$8:$N$48,3,FALSE)=0,"",VLOOKUP(C36,DSNV!$C$8:$N$48,3,FALSE))</f>
        <v/>
      </c>
      <c r="E36" s="4" t="str">
        <f>IF(VLOOKUP(C36,DSNV!$C$8:$N$48,8,FALSE)="","",VLOOKUP(C36,DSNV!$C$8:$N$48,8,FALSE))</f>
        <v/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4">
        <f t="shared" si="2"/>
        <v>0</v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4">
        <f t="shared" si="3"/>
        <v>0</v>
      </c>
      <c r="BR36" s="4"/>
      <c r="BS36" s="4"/>
      <c r="BT36" s="45">
        <f t="shared" si="4"/>
        <v>0</v>
      </c>
      <c r="BU36" s="7"/>
      <c r="BV36" s="2"/>
    </row>
    <row r="37" spans="2:74" ht="15" hidden="1" thickBot="1" x14ac:dyDescent="0.35">
      <c r="B37" s="2"/>
      <c r="C37" s="6">
        <v>24</v>
      </c>
      <c r="D37" s="5" t="str">
        <f>IF(VLOOKUP(C37,DSNV!$C$8:$N$48,3,FALSE)=0,"",VLOOKUP(C37,DSNV!$C$8:$N$48,3,FALSE))</f>
        <v/>
      </c>
      <c r="E37" s="4" t="str">
        <f>IF(VLOOKUP(C37,DSNV!$C$8:$N$48,8,FALSE)="","",VLOOKUP(C37,DSNV!$C$8:$N$48,8,FALSE))</f>
        <v/>
      </c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4">
        <f t="shared" si="2"/>
        <v>0</v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4">
        <f t="shared" si="3"/>
        <v>0</v>
      </c>
      <c r="BR37" s="4"/>
      <c r="BS37" s="4"/>
      <c r="BT37" s="45">
        <f t="shared" si="4"/>
        <v>0</v>
      </c>
      <c r="BU37" s="7"/>
      <c r="BV37" s="2"/>
    </row>
    <row r="38" spans="2:74" ht="15" hidden="1" thickBot="1" x14ac:dyDescent="0.35">
      <c r="B38" s="2"/>
      <c r="C38" s="6">
        <v>25</v>
      </c>
      <c r="D38" s="5" t="str">
        <f>IF(VLOOKUP(C38,DSNV!$C$8:$N$48,3,FALSE)=0,"",VLOOKUP(C38,DSNV!$C$8:$N$48,3,FALSE))</f>
        <v/>
      </c>
      <c r="E38" s="4" t="str">
        <f>IF(VLOOKUP(C38,DSNV!$C$8:$N$48,8,FALSE)="","",VLOOKUP(C38,DSNV!$C$8:$N$48,8,FALSE))</f>
        <v/>
      </c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4">
        <f t="shared" si="2"/>
        <v>0</v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4">
        <f t="shared" si="3"/>
        <v>0</v>
      </c>
      <c r="BR38" s="4"/>
      <c r="BS38" s="4"/>
      <c r="BT38" s="45">
        <f t="shared" si="4"/>
        <v>0</v>
      </c>
      <c r="BU38" s="7"/>
      <c r="BV38" s="2"/>
    </row>
    <row r="39" spans="2:74" ht="15" hidden="1" thickBot="1" x14ac:dyDescent="0.35">
      <c r="B39" s="2"/>
      <c r="C39" s="6">
        <v>26</v>
      </c>
      <c r="D39" s="5" t="str">
        <f>IF(VLOOKUP(C39,DSNV!$C$8:$N$48,3,FALSE)=0,"",VLOOKUP(C39,DSNV!$C$8:$N$48,3,FALSE))</f>
        <v/>
      </c>
      <c r="E39" s="4" t="str">
        <f>IF(VLOOKUP(C39,DSNV!$C$8:$N$48,8,FALSE)="","",VLOOKUP(C39,DSNV!$C$8:$N$48,8,FALSE))</f>
        <v/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4">
        <f t="shared" si="2"/>
        <v>0</v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4">
        <f t="shared" si="3"/>
        <v>0</v>
      </c>
      <c r="BR39" s="4"/>
      <c r="BS39" s="4"/>
      <c r="BT39" s="45">
        <f t="shared" si="4"/>
        <v>0</v>
      </c>
      <c r="BU39" s="7"/>
      <c r="BV39" s="2"/>
    </row>
    <row r="40" spans="2:74" ht="15" hidden="1" thickBot="1" x14ac:dyDescent="0.35">
      <c r="B40" s="2"/>
      <c r="C40" s="6">
        <v>27</v>
      </c>
      <c r="D40" s="5" t="str">
        <f>IF(VLOOKUP(C40,DSNV!$C$8:$N$48,3,FALSE)=0,"",VLOOKUP(C40,DSNV!$C$8:$N$48,3,FALSE))</f>
        <v/>
      </c>
      <c r="E40" s="4" t="str">
        <f>IF(VLOOKUP(C40,DSNV!$C$8:$N$48,8,FALSE)="","",VLOOKUP(C40,DSNV!$C$8:$N$48,8,FALSE))</f>
        <v/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4">
        <f t="shared" si="2"/>
        <v>0</v>
      </c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4">
        <f t="shared" si="3"/>
        <v>0</v>
      </c>
      <c r="BR40" s="4"/>
      <c r="BS40" s="4"/>
      <c r="BT40" s="45">
        <f t="shared" si="4"/>
        <v>0</v>
      </c>
      <c r="BU40" s="7"/>
      <c r="BV40" s="2"/>
    </row>
    <row r="41" spans="2:74" ht="15" hidden="1" thickBot="1" x14ac:dyDescent="0.35">
      <c r="B41" s="2"/>
      <c r="C41" s="6">
        <v>28</v>
      </c>
      <c r="D41" s="5" t="str">
        <f>IF(VLOOKUP(C41,DSNV!$C$8:$N$48,3,FALSE)=0,"",VLOOKUP(C41,DSNV!$C$8:$N$48,3,FALSE))</f>
        <v/>
      </c>
      <c r="E41" s="4" t="str">
        <f>IF(VLOOKUP(C41,DSNV!$C$8:$N$48,8,FALSE)="","",VLOOKUP(C41,DSNV!$C$8:$N$48,8,FALSE))</f>
        <v/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4">
        <f t="shared" si="2"/>
        <v>0</v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4">
        <f t="shared" si="3"/>
        <v>0</v>
      </c>
      <c r="BR41" s="4"/>
      <c r="BS41" s="4"/>
      <c r="BT41" s="45">
        <f t="shared" si="4"/>
        <v>0</v>
      </c>
      <c r="BU41" s="7"/>
      <c r="BV41" s="2"/>
    </row>
    <row r="42" spans="2:74" ht="15" hidden="1" thickBot="1" x14ac:dyDescent="0.35">
      <c r="B42" s="2"/>
      <c r="C42" s="6">
        <v>29</v>
      </c>
      <c r="D42" s="5" t="str">
        <f>IF(VLOOKUP(C42,DSNV!$C$8:$N$48,3,FALSE)=0,"",VLOOKUP(C42,DSNV!$C$8:$N$48,3,FALSE))</f>
        <v/>
      </c>
      <c r="E42" s="4" t="str">
        <f>IF(VLOOKUP(C42,DSNV!$C$8:$N$48,8,FALSE)="","",VLOOKUP(C42,DSNV!$C$8:$N$48,8,FALSE))</f>
        <v/>
      </c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4">
        <f t="shared" si="2"/>
        <v>0</v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4">
        <f t="shared" si="3"/>
        <v>0</v>
      </c>
      <c r="BR42" s="4"/>
      <c r="BS42" s="4"/>
      <c r="BT42" s="45">
        <f t="shared" si="4"/>
        <v>0</v>
      </c>
      <c r="BU42" s="7"/>
      <c r="BV42" s="2"/>
    </row>
    <row r="43" spans="2:74" ht="15" hidden="1" thickBot="1" x14ac:dyDescent="0.35">
      <c r="B43" s="2"/>
      <c r="C43" s="6">
        <v>30</v>
      </c>
      <c r="D43" s="5" t="str">
        <f>IF(VLOOKUP(C43,DSNV!$C$8:$N$48,3,FALSE)=0,"",VLOOKUP(C43,DSNV!$C$8:$N$48,3,FALSE))</f>
        <v/>
      </c>
      <c r="E43" s="4" t="str">
        <f>IF(VLOOKUP(C43,DSNV!$C$8:$N$48,8,FALSE)="","",VLOOKUP(C43,DSNV!$C$8:$N$48,8,FALSE))</f>
        <v/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4">
        <f t="shared" si="2"/>
        <v>0</v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4">
        <f t="shared" si="3"/>
        <v>0</v>
      </c>
      <c r="BR43" s="4"/>
      <c r="BS43" s="4"/>
      <c r="BT43" s="45">
        <f t="shared" si="4"/>
        <v>0</v>
      </c>
      <c r="BU43" s="7"/>
      <c r="BV43" s="2"/>
    </row>
    <row r="44" spans="2:74" ht="15" hidden="1" thickBot="1" x14ac:dyDescent="0.35">
      <c r="B44" s="2"/>
      <c r="C44" s="6">
        <v>31</v>
      </c>
      <c r="D44" s="5" t="str">
        <f>IF(VLOOKUP(C44,DSNV!$C$8:$N$48,3,FALSE)=0,"",VLOOKUP(C44,DSNV!$C$8:$N$48,3,FALSE))</f>
        <v/>
      </c>
      <c r="E44" s="4" t="str">
        <f>IF(VLOOKUP(C44,DSNV!$C$8:$N$48,8,FALSE)="","",VLOOKUP(C44,DSNV!$C$8:$N$48,8,FALSE))</f>
        <v/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4">
        <f t="shared" si="2"/>
        <v>0</v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4">
        <f t="shared" si="3"/>
        <v>0</v>
      </c>
      <c r="BR44" s="4"/>
      <c r="BS44" s="4"/>
      <c r="BT44" s="45">
        <f t="shared" si="4"/>
        <v>0</v>
      </c>
      <c r="BU44" s="7"/>
      <c r="BV44" s="2"/>
    </row>
    <row r="45" spans="2:74" ht="15" hidden="1" thickBot="1" x14ac:dyDescent="0.35">
      <c r="B45" s="2"/>
      <c r="C45" s="6">
        <v>32</v>
      </c>
      <c r="D45" s="5" t="str">
        <f>IF(VLOOKUP(C45,DSNV!$C$8:$N$48,3,FALSE)=0,"",VLOOKUP(C45,DSNV!$C$8:$N$48,3,FALSE))</f>
        <v/>
      </c>
      <c r="E45" s="4" t="str">
        <f>IF(VLOOKUP(C45,DSNV!$C$8:$N$48,8,FALSE)="","",VLOOKUP(C45,DSNV!$C$8:$N$48,8,FALSE))</f>
        <v/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4">
        <f t="shared" si="2"/>
        <v>0</v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4">
        <f t="shared" si="3"/>
        <v>0</v>
      </c>
      <c r="BR45" s="4"/>
      <c r="BS45" s="4"/>
      <c r="BT45" s="45">
        <f t="shared" si="4"/>
        <v>0</v>
      </c>
      <c r="BU45" s="7"/>
      <c r="BV45" s="2"/>
    </row>
    <row r="46" spans="2:74" ht="15" hidden="1" thickBot="1" x14ac:dyDescent="0.35">
      <c r="B46" s="2"/>
      <c r="C46" s="6">
        <v>33</v>
      </c>
      <c r="D46" s="5" t="str">
        <f>IF(VLOOKUP(C46,DSNV!$C$8:$N$48,3,FALSE)=0,"",VLOOKUP(C46,DSNV!$C$8:$N$48,3,FALSE))</f>
        <v/>
      </c>
      <c r="E46" s="4" t="str">
        <f>IF(VLOOKUP(C46,DSNV!$C$8:$N$48,8,FALSE)="","",VLOOKUP(C46,DSNV!$C$8:$N$48,8,FALSE))</f>
        <v/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4">
        <f t="shared" si="2"/>
        <v>0</v>
      </c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4">
        <f t="shared" si="3"/>
        <v>0</v>
      </c>
      <c r="BR46" s="4"/>
      <c r="BS46" s="4"/>
      <c r="BT46" s="45">
        <f t="shared" si="4"/>
        <v>0</v>
      </c>
      <c r="BU46" s="7"/>
      <c r="BV46" s="2"/>
    </row>
    <row r="47" spans="2:74" ht="15" hidden="1" thickBot="1" x14ac:dyDescent="0.35">
      <c r="B47" s="2"/>
      <c r="C47" s="6">
        <v>34</v>
      </c>
      <c r="D47" s="5" t="str">
        <f>IF(VLOOKUP(C47,DSNV!$C$8:$N$48,3,FALSE)=0,"",VLOOKUP(C47,DSNV!$C$8:$N$48,3,FALSE))</f>
        <v/>
      </c>
      <c r="E47" s="4" t="str">
        <f>IF(VLOOKUP(C47,DSNV!$C$8:$N$48,8,FALSE)="","",VLOOKUP(C47,DSNV!$C$8:$N$48,8,FALSE))</f>
        <v/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4">
        <f t="shared" si="2"/>
        <v>0</v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4">
        <f t="shared" si="3"/>
        <v>0</v>
      </c>
      <c r="BR47" s="4"/>
      <c r="BS47" s="4"/>
      <c r="BT47" s="45">
        <f t="shared" si="4"/>
        <v>0</v>
      </c>
      <c r="BU47" s="7"/>
      <c r="BV47" s="2"/>
    </row>
    <row r="48" spans="2:74" ht="15" hidden="1" thickBot="1" x14ac:dyDescent="0.35">
      <c r="B48" s="2"/>
      <c r="C48" s="6">
        <v>35</v>
      </c>
      <c r="D48" s="5" t="str">
        <f>IF(VLOOKUP(C48,DSNV!$C$8:$N$48,3,FALSE)=0,"",VLOOKUP(C48,DSNV!$C$8:$N$48,3,FALSE))</f>
        <v/>
      </c>
      <c r="E48" s="4" t="str">
        <f>IF(VLOOKUP(C48,DSNV!$C$8:$N$48,8,FALSE)="","",VLOOKUP(C48,DSNV!$C$8:$N$48,8,FALSE))</f>
        <v/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4">
        <f t="shared" si="2"/>
        <v>0</v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4">
        <f t="shared" si="3"/>
        <v>0</v>
      </c>
      <c r="BR48" s="4"/>
      <c r="BS48" s="4"/>
      <c r="BT48" s="45">
        <f t="shared" si="4"/>
        <v>0</v>
      </c>
      <c r="BU48" s="7"/>
      <c r="BV48" s="2"/>
    </row>
    <row r="49" spans="2:74" ht="15" hidden="1" thickBot="1" x14ac:dyDescent="0.35">
      <c r="B49" s="2"/>
      <c r="C49" s="6">
        <v>36</v>
      </c>
      <c r="D49" s="5" t="str">
        <f>IF(VLOOKUP(C49,DSNV!$C$8:$N$48,3,FALSE)=0,"",VLOOKUP(C49,DSNV!$C$8:$N$48,3,FALSE))</f>
        <v/>
      </c>
      <c r="E49" s="4" t="str">
        <f>IF(VLOOKUP(C49,DSNV!$C$8:$N$48,8,FALSE)="","",VLOOKUP(C49,DSNV!$C$8:$N$48,8,FALSE))</f>
        <v/>
      </c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4">
        <f t="shared" si="2"/>
        <v>0</v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4">
        <f t="shared" si="3"/>
        <v>0</v>
      </c>
      <c r="BR49" s="4"/>
      <c r="BS49" s="4"/>
      <c r="BT49" s="45">
        <f t="shared" si="4"/>
        <v>0</v>
      </c>
      <c r="BU49" s="7"/>
      <c r="BV49" s="2"/>
    </row>
    <row r="50" spans="2:74" ht="15" hidden="1" thickBot="1" x14ac:dyDescent="0.35">
      <c r="B50" s="2"/>
      <c r="C50" s="6">
        <v>37</v>
      </c>
      <c r="D50" s="5" t="str">
        <f>IF(VLOOKUP(C50,DSNV!$C$8:$N$48,3,FALSE)=0,"",VLOOKUP(C50,DSNV!$C$8:$N$48,3,FALSE))</f>
        <v/>
      </c>
      <c r="E50" s="4" t="str">
        <f>IF(VLOOKUP(C50,DSNV!$C$8:$N$48,8,FALSE)="","",VLOOKUP(C50,DSNV!$C$8:$N$48,8,FALSE))</f>
        <v/>
      </c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4">
        <f t="shared" si="2"/>
        <v>0</v>
      </c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4">
        <f t="shared" si="3"/>
        <v>0</v>
      </c>
      <c r="BR50" s="4"/>
      <c r="BS50" s="4"/>
      <c r="BT50" s="45">
        <f t="shared" si="4"/>
        <v>0</v>
      </c>
      <c r="BU50" s="7"/>
      <c r="BV50" s="2"/>
    </row>
    <row r="51" spans="2:74" ht="15" hidden="1" thickBot="1" x14ac:dyDescent="0.35">
      <c r="B51" s="2"/>
      <c r="C51" s="6">
        <v>38</v>
      </c>
      <c r="D51" s="5" t="str">
        <f>IF(VLOOKUP(C51,DSNV!$C$8:$N$48,3,FALSE)=0,"",VLOOKUP(C51,DSNV!$C$8:$N$48,3,FALSE))</f>
        <v/>
      </c>
      <c r="E51" s="4" t="str">
        <f>IF(VLOOKUP(C51,DSNV!$C$8:$N$48,8,FALSE)="","",VLOOKUP(C51,DSNV!$C$8:$N$48,8,FALSE))</f>
        <v/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4">
        <f t="shared" si="2"/>
        <v>0</v>
      </c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4">
        <f t="shared" si="3"/>
        <v>0</v>
      </c>
      <c r="BR51" s="4"/>
      <c r="BS51" s="4"/>
      <c r="BT51" s="45">
        <f t="shared" si="4"/>
        <v>0</v>
      </c>
      <c r="BU51" s="7"/>
      <c r="BV51" s="2"/>
    </row>
    <row r="52" spans="2:74" ht="15" hidden="1" thickBot="1" x14ac:dyDescent="0.35">
      <c r="B52" s="2"/>
      <c r="C52" s="6">
        <v>39</v>
      </c>
      <c r="D52" s="5" t="str">
        <f>IF(VLOOKUP(C52,DSNV!$C$8:$N$48,3,FALSE)=0,"",VLOOKUP(C52,DSNV!$C$8:$N$48,3,FALSE))</f>
        <v/>
      </c>
      <c r="E52" s="4" t="str">
        <f>IF(VLOOKUP(C52,DSNV!$C$8:$N$48,8,FALSE)="","",VLOOKUP(C52,DSNV!$C$8:$N$48,8,FALSE))</f>
        <v/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4">
        <f t="shared" si="2"/>
        <v>0</v>
      </c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4">
        <f t="shared" si="3"/>
        <v>0</v>
      </c>
      <c r="BR52" s="4"/>
      <c r="BS52" s="4"/>
      <c r="BT52" s="45">
        <f t="shared" si="4"/>
        <v>0</v>
      </c>
      <c r="BU52" s="7"/>
      <c r="BV52" s="2"/>
    </row>
    <row r="53" spans="2:74" ht="15" hidden="1" thickBot="1" x14ac:dyDescent="0.35">
      <c r="B53" s="2"/>
      <c r="C53" s="14">
        <v>40</v>
      </c>
      <c r="D53" s="5" t="str">
        <f>IF(VLOOKUP(C53,DSNV!$C$8:$N$48,3,FALSE)=0,"",VLOOKUP(C53,DSNV!$C$8:$N$48,3,FALSE))</f>
        <v/>
      </c>
      <c r="E53" s="4" t="str">
        <f>IF(VLOOKUP(C53,DSNV!$C$8:$N$48,8,FALSE)="","",VLOOKUP(C53,DSNV!$C$8:$N$48,8,FALSE))</f>
        <v/>
      </c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4">
        <f t="shared" si="2"/>
        <v>0</v>
      </c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4">
        <f t="shared" si="3"/>
        <v>0</v>
      </c>
      <c r="BR53" s="4"/>
      <c r="BS53" s="4"/>
      <c r="BT53" s="45">
        <f t="shared" si="4"/>
        <v>0</v>
      </c>
      <c r="BU53" s="15"/>
      <c r="BV53" s="2"/>
    </row>
    <row r="54" spans="2:74" ht="15" thickBot="1" x14ac:dyDescent="0.35">
      <c r="B54" s="2"/>
      <c r="C54" s="121" t="s">
        <v>53</v>
      </c>
      <c r="D54" s="121"/>
      <c r="E54" s="121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37">
        <f>SUM(AK14:AK53)</f>
        <v>69</v>
      </c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37">
        <f>SUM(BQ14:BQ53)</f>
        <v>153</v>
      </c>
      <c r="BR54" s="37">
        <f t="shared" ref="BR54:BS54" si="7">SUM(BR14:BR53)</f>
        <v>41</v>
      </c>
      <c r="BS54" s="37">
        <f t="shared" si="7"/>
        <v>5</v>
      </c>
      <c r="BT54" s="37">
        <f>SUM(BT14:BT53)</f>
        <v>268</v>
      </c>
      <c r="BU54" s="17"/>
      <c r="BV54" s="2"/>
    </row>
    <row r="55" spans="2:74" x14ac:dyDescent="0.3">
      <c r="B55" s="2"/>
      <c r="C55" s="3"/>
      <c r="D55" s="2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2"/>
      <c r="BV55" s="2"/>
    </row>
    <row r="56" spans="2:74" x14ac:dyDescent="0.3">
      <c r="B56" s="2"/>
      <c r="C56" s="3"/>
      <c r="D56" s="2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2"/>
      <c r="BV56" s="2"/>
    </row>
    <row r="57" spans="2:74" x14ac:dyDescent="0.3"/>
    <row r="58" spans="2:74" x14ac:dyDescent="0.3"/>
    <row r="59" spans="2:74" x14ac:dyDescent="0.3"/>
  </sheetData>
  <autoFilter ref="C11:BU54" xr:uid="{5B728C7B-9475-4B02-8B4D-6C91ABA364A6}"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</autoFilter>
  <mergeCells count="12">
    <mergeCell ref="BQ11:BQ13"/>
    <mergeCell ref="BT11:BT13"/>
    <mergeCell ref="BU11:BU13"/>
    <mergeCell ref="C54:E54"/>
    <mergeCell ref="BR11:BR13"/>
    <mergeCell ref="BS11:BS13"/>
    <mergeCell ref="C11:C13"/>
    <mergeCell ref="D11:D13"/>
    <mergeCell ref="E11:E13"/>
    <mergeCell ref="F11:AJ11"/>
    <mergeCell ref="AK11:AK13"/>
    <mergeCell ref="AL11:BP11"/>
  </mergeCells>
  <conditionalFormatting sqref="F12:AJ54 AL12:BP54">
    <cfRule type="expression" dxfId="21" priority="3">
      <formula>OR(WEEKDAY($D$1+F$12)=1,WEEKDAY($D$1+F$12)=7)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0D7B4-D432-42F9-8B3C-4445193C242F}">
  <sheetPr codeName="Sheet8"/>
  <dimension ref="A1:BX60"/>
  <sheetViews>
    <sheetView showGridLines="0" showRowColHeaders="0" workbookViewId="0">
      <pane xSplit="5" ySplit="13" topLeftCell="F14" activePane="bottomRight" state="frozen"/>
      <selection pane="topRight" activeCell="F1" sqref="F1"/>
      <selection pane="bottomLeft" activeCell="A14" sqref="A14"/>
      <selection pane="bottomRight"/>
    </sheetView>
  </sheetViews>
  <sheetFormatPr defaultColWidth="0" defaultRowHeight="14.4" zeroHeight="1" x14ac:dyDescent="0.3"/>
  <cols>
    <col min="1" max="1" width="8.88671875" style="2" customWidth="1"/>
    <col min="2" max="2" width="3.33203125" style="2" customWidth="1"/>
    <col min="3" max="3" width="5.21875" style="3" customWidth="1"/>
    <col min="4" max="4" width="23" style="2" bestFit="1" customWidth="1"/>
    <col min="5" max="5" width="12" style="3" customWidth="1"/>
    <col min="6" max="36" width="3.44140625" style="3" bestFit="1" customWidth="1"/>
    <col min="37" max="37" width="6.77734375" style="3" customWidth="1"/>
    <col min="38" max="68" width="3.44140625" style="3" bestFit="1" customWidth="1"/>
    <col min="69" max="72" width="6.77734375" style="3" customWidth="1"/>
    <col min="73" max="73" width="9.88671875" style="2" customWidth="1"/>
    <col min="74" max="74" width="3.33203125" style="2" customWidth="1"/>
    <col min="75" max="75" width="8.88671875" style="2" customWidth="1"/>
    <col min="76" max="76" width="8.88671875" style="2" hidden="1" customWidth="1"/>
    <col min="77" max="16384" width="8.88671875" style="2" hidden="1"/>
  </cols>
  <sheetData>
    <row r="1" spans="1:76" s="104" customFormat="1" x14ac:dyDescent="0.3">
      <c r="C1" s="105"/>
      <c r="D1" s="106">
        <f>D2-1</f>
        <v>44286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</row>
    <row r="2" spans="1:76" s="104" customFormat="1" x14ac:dyDescent="0.3">
      <c r="C2" s="105"/>
      <c r="D2" s="107" t="str">
        <f>"01/04/"&amp;E9</f>
        <v>01/04/2021</v>
      </c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105"/>
      <c r="BP2" s="105"/>
      <c r="BQ2" s="105"/>
      <c r="BR2" s="105"/>
      <c r="BS2" s="105"/>
      <c r="BT2" s="105"/>
    </row>
    <row r="3" spans="1:76" s="110" customFormat="1" x14ac:dyDescent="0.3">
      <c r="C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1"/>
      <c r="AU3" s="111"/>
      <c r="AV3" s="111"/>
      <c r="AW3" s="111"/>
      <c r="AX3" s="111"/>
      <c r="AY3" s="111"/>
      <c r="AZ3" s="111"/>
      <c r="BA3" s="111"/>
      <c r="BB3" s="111"/>
      <c r="BC3" s="111"/>
      <c r="BD3" s="111"/>
      <c r="BE3" s="111"/>
      <c r="BF3" s="111"/>
      <c r="BG3" s="111"/>
      <c r="BH3" s="111"/>
      <c r="BI3" s="111"/>
      <c r="BJ3" s="111"/>
      <c r="BK3" s="111"/>
      <c r="BL3" s="111"/>
      <c r="BM3" s="111"/>
      <c r="BN3" s="111"/>
      <c r="BO3" s="111"/>
      <c r="BP3" s="111"/>
      <c r="BQ3" s="111"/>
      <c r="BR3" s="111"/>
      <c r="BS3" s="111"/>
      <c r="BT3" s="111"/>
    </row>
    <row r="4" spans="1:76" x14ac:dyDescent="0.3">
      <c r="A4" s="78"/>
      <c r="B4" s="78"/>
      <c r="C4" s="77"/>
      <c r="D4" s="79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  <c r="BC4" s="77"/>
      <c r="BD4" s="77"/>
      <c r="BE4" s="77"/>
      <c r="BF4" s="77"/>
      <c r="BG4" s="77"/>
      <c r="BH4" s="77"/>
      <c r="BI4" s="77"/>
      <c r="BJ4" s="77"/>
      <c r="BK4" s="77"/>
      <c r="BL4" s="77"/>
      <c r="BM4" s="77"/>
      <c r="BN4" s="77"/>
      <c r="BO4" s="77"/>
      <c r="BP4" s="77"/>
      <c r="BQ4" s="77"/>
      <c r="BR4" s="77"/>
      <c r="BS4" s="77"/>
      <c r="BT4" s="77"/>
      <c r="BU4" s="78"/>
      <c r="BV4" s="78"/>
      <c r="BW4" s="78"/>
      <c r="BX4" s="78"/>
    </row>
    <row r="5" spans="1:76" x14ac:dyDescent="0.3">
      <c r="A5" s="78"/>
      <c r="BW5" s="78"/>
      <c r="BX5" s="78"/>
    </row>
    <row r="6" spans="1:76" x14ac:dyDescent="0.3">
      <c r="A6" s="78"/>
      <c r="D6" s="41" t="s">
        <v>49</v>
      </c>
      <c r="E6" s="42">
        <f>COUNTIFS(F13:AJ13,"&gt;1",F13:AJ13,"&lt;7")</f>
        <v>22</v>
      </c>
      <c r="BW6" s="78"/>
      <c r="BX6" s="78"/>
    </row>
    <row r="7" spans="1:76" x14ac:dyDescent="0.3">
      <c r="A7" s="78"/>
      <c r="C7" s="1"/>
      <c r="D7" s="1"/>
      <c r="BW7" s="78"/>
      <c r="BX7" s="78"/>
    </row>
    <row r="8" spans="1:76" ht="25.8" x14ac:dyDescent="0.5">
      <c r="A8" s="78"/>
      <c r="D8" s="39" t="s">
        <v>50</v>
      </c>
      <c r="E8" s="39"/>
      <c r="BW8" s="78"/>
      <c r="BX8" s="78"/>
    </row>
    <row r="9" spans="1:76" x14ac:dyDescent="0.3">
      <c r="A9" s="78"/>
      <c r="D9" s="40" t="s">
        <v>90</v>
      </c>
      <c r="E9" s="1">
        <v>2021</v>
      </c>
      <c r="BW9" s="78"/>
      <c r="BX9" s="78"/>
    </row>
    <row r="10" spans="1:76" x14ac:dyDescent="0.3">
      <c r="A10" s="78"/>
      <c r="BW10" s="78"/>
      <c r="BX10" s="78"/>
    </row>
    <row r="11" spans="1:76" ht="13.8" customHeight="1" x14ac:dyDescent="0.3">
      <c r="A11" s="78"/>
      <c r="C11" s="120" t="s">
        <v>1</v>
      </c>
      <c r="D11" s="120" t="s">
        <v>2</v>
      </c>
      <c r="E11" s="120" t="s">
        <v>6</v>
      </c>
      <c r="F11" s="120" t="s">
        <v>51</v>
      </c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/>
      <c r="AK11" s="119" t="s">
        <v>54</v>
      </c>
      <c r="AL11" s="120" t="s">
        <v>52</v>
      </c>
      <c r="AM11" s="120"/>
      <c r="AN11" s="120"/>
      <c r="AO11" s="120"/>
      <c r="AP11" s="120"/>
      <c r="AQ11" s="120"/>
      <c r="AR11" s="120"/>
      <c r="AS11" s="120"/>
      <c r="AT11" s="120"/>
      <c r="AU11" s="120"/>
      <c r="AV11" s="120"/>
      <c r="AW11" s="120"/>
      <c r="AX11" s="120"/>
      <c r="AY11" s="120"/>
      <c r="AZ11" s="120"/>
      <c r="BA11" s="120"/>
      <c r="BB11" s="120"/>
      <c r="BC11" s="120"/>
      <c r="BD11" s="120"/>
      <c r="BE11" s="120"/>
      <c r="BF11" s="120"/>
      <c r="BG11" s="120"/>
      <c r="BH11" s="120"/>
      <c r="BI11" s="120"/>
      <c r="BJ11" s="120"/>
      <c r="BK11" s="120"/>
      <c r="BL11" s="120"/>
      <c r="BM11" s="120"/>
      <c r="BN11" s="120"/>
      <c r="BO11" s="120"/>
      <c r="BP11" s="120"/>
      <c r="BQ11" s="119" t="s">
        <v>112</v>
      </c>
      <c r="BR11" s="122" t="s">
        <v>113</v>
      </c>
      <c r="BS11" s="122" t="s">
        <v>114</v>
      </c>
      <c r="BT11" s="119" t="s">
        <v>53</v>
      </c>
      <c r="BU11" s="120" t="s">
        <v>8</v>
      </c>
      <c r="BW11" s="78"/>
      <c r="BX11" s="78"/>
    </row>
    <row r="12" spans="1:76" x14ac:dyDescent="0.3">
      <c r="A12" s="78"/>
      <c r="C12" s="120"/>
      <c r="D12" s="120"/>
      <c r="E12" s="120"/>
      <c r="F12" s="18">
        <v>1</v>
      </c>
      <c r="G12" s="18">
        <v>2</v>
      </c>
      <c r="H12" s="18">
        <v>3</v>
      </c>
      <c r="I12" s="18">
        <v>4</v>
      </c>
      <c r="J12" s="18">
        <v>5</v>
      </c>
      <c r="K12" s="18">
        <v>6</v>
      </c>
      <c r="L12" s="18">
        <v>7</v>
      </c>
      <c r="M12" s="18">
        <v>8</v>
      </c>
      <c r="N12" s="18">
        <v>9</v>
      </c>
      <c r="O12" s="18">
        <v>10</v>
      </c>
      <c r="P12" s="18">
        <v>11</v>
      </c>
      <c r="Q12" s="18">
        <v>12</v>
      </c>
      <c r="R12" s="18">
        <v>13</v>
      </c>
      <c r="S12" s="18">
        <v>14</v>
      </c>
      <c r="T12" s="18">
        <v>15</v>
      </c>
      <c r="U12" s="18">
        <v>16</v>
      </c>
      <c r="V12" s="18">
        <v>17</v>
      </c>
      <c r="W12" s="18">
        <v>18</v>
      </c>
      <c r="X12" s="18">
        <v>19</v>
      </c>
      <c r="Y12" s="18">
        <v>20</v>
      </c>
      <c r="Z12" s="18">
        <v>21</v>
      </c>
      <c r="AA12" s="18">
        <v>22</v>
      </c>
      <c r="AB12" s="18">
        <v>23</v>
      </c>
      <c r="AC12" s="18">
        <v>24</v>
      </c>
      <c r="AD12" s="18">
        <v>25</v>
      </c>
      <c r="AE12" s="18">
        <v>26</v>
      </c>
      <c r="AF12" s="18">
        <v>27</v>
      </c>
      <c r="AG12" s="18">
        <v>28</v>
      </c>
      <c r="AH12" s="18">
        <v>29</v>
      </c>
      <c r="AI12" s="18">
        <v>30</v>
      </c>
      <c r="AJ12" s="18"/>
      <c r="AK12" s="119"/>
      <c r="AL12" s="18">
        <v>1</v>
      </c>
      <c r="AM12" s="18">
        <v>2</v>
      </c>
      <c r="AN12" s="18">
        <v>3</v>
      </c>
      <c r="AO12" s="18">
        <v>4</v>
      </c>
      <c r="AP12" s="18">
        <v>5</v>
      </c>
      <c r="AQ12" s="18">
        <v>6</v>
      </c>
      <c r="AR12" s="18">
        <v>7</v>
      </c>
      <c r="AS12" s="18">
        <v>8</v>
      </c>
      <c r="AT12" s="18">
        <v>9</v>
      </c>
      <c r="AU12" s="18">
        <v>10</v>
      </c>
      <c r="AV12" s="18">
        <v>11</v>
      </c>
      <c r="AW12" s="18">
        <v>12</v>
      </c>
      <c r="AX12" s="18">
        <v>13</v>
      </c>
      <c r="AY12" s="18">
        <v>14</v>
      </c>
      <c r="AZ12" s="18">
        <v>15</v>
      </c>
      <c r="BA12" s="18">
        <v>16</v>
      </c>
      <c r="BB12" s="18">
        <v>17</v>
      </c>
      <c r="BC12" s="18">
        <v>18</v>
      </c>
      <c r="BD12" s="18">
        <v>19</v>
      </c>
      <c r="BE12" s="18">
        <v>20</v>
      </c>
      <c r="BF12" s="18">
        <v>21</v>
      </c>
      <c r="BG12" s="18">
        <v>22</v>
      </c>
      <c r="BH12" s="18">
        <v>23</v>
      </c>
      <c r="BI12" s="18">
        <v>24</v>
      </c>
      <c r="BJ12" s="18">
        <v>25</v>
      </c>
      <c r="BK12" s="18">
        <v>26</v>
      </c>
      <c r="BL12" s="18">
        <v>27</v>
      </c>
      <c r="BM12" s="18">
        <v>28</v>
      </c>
      <c r="BN12" s="18">
        <v>29</v>
      </c>
      <c r="BO12" s="18">
        <v>30</v>
      </c>
      <c r="BP12" s="18"/>
      <c r="BQ12" s="119"/>
      <c r="BR12" s="123"/>
      <c r="BS12" s="123"/>
      <c r="BT12" s="119"/>
      <c r="BU12" s="120"/>
      <c r="BW12" s="78"/>
      <c r="BX12" s="78"/>
    </row>
    <row r="13" spans="1:76" ht="25.8" x14ac:dyDescent="0.3">
      <c r="A13" s="78"/>
      <c r="C13" s="120"/>
      <c r="D13" s="120"/>
      <c r="E13" s="120"/>
      <c r="F13" s="38">
        <f>WEEKDAY($D$1+F12)</f>
        <v>5</v>
      </c>
      <c r="G13" s="38">
        <f t="shared" ref="G13:AI13" si="0">WEEKDAY($D$1+G12)</f>
        <v>6</v>
      </c>
      <c r="H13" s="38">
        <f t="shared" si="0"/>
        <v>7</v>
      </c>
      <c r="I13" s="38">
        <f t="shared" si="0"/>
        <v>1</v>
      </c>
      <c r="J13" s="38">
        <f t="shared" si="0"/>
        <v>2</v>
      </c>
      <c r="K13" s="38">
        <f t="shared" si="0"/>
        <v>3</v>
      </c>
      <c r="L13" s="38">
        <f t="shared" si="0"/>
        <v>4</v>
      </c>
      <c r="M13" s="38">
        <f t="shared" si="0"/>
        <v>5</v>
      </c>
      <c r="N13" s="38">
        <f t="shared" si="0"/>
        <v>6</v>
      </c>
      <c r="O13" s="38">
        <f t="shared" si="0"/>
        <v>7</v>
      </c>
      <c r="P13" s="38">
        <f t="shared" si="0"/>
        <v>1</v>
      </c>
      <c r="Q13" s="38">
        <f t="shared" si="0"/>
        <v>2</v>
      </c>
      <c r="R13" s="38">
        <f t="shared" si="0"/>
        <v>3</v>
      </c>
      <c r="S13" s="38">
        <f t="shared" si="0"/>
        <v>4</v>
      </c>
      <c r="T13" s="38">
        <f t="shared" si="0"/>
        <v>5</v>
      </c>
      <c r="U13" s="38">
        <f t="shared" si="0"/>
        <v>6</v>
      </c>
      <c r="V13" s="38">
        <f t="shared" si="0"/>
        <v>7</v>
      </c>
      <c r="W13" s="38">
        <f t="shared" si="0"/>
        <v>1</v>
      </c>
      <c r="X13" s="38">
        <f t="shared" si="0"/>
        <v>2</v>
      </c>
      <c r="Y13" s="38">
        <f t="shared" si="0"/>
        <v>3</v>
      </c>
      <c r="Z13" s="38">
        <f t="shared" si="0"/>
        <v>4</v>
      </c>
      <c r="AA13" s="38">
        <f t="shared" si="0"/>
        <v>5</v>
      </c>
      <c r="AB13" s="38">
        <f t="shared" si="0"/>
        <v>6</v>
      </c>
      <c r="AC13" s="38">
        <f t="shared" si="0"/>
        <v>7</v>
      </c>
      <c r="AD13" s="38">
        <f t="shared" si="0"/>
        <v>1</v>
      </c>
      <c r="AE13" s="38">
        <f t="shared" si="0"/>
        <v>2</v>
      </c>
      <c r="AF13" s="38">
        <f t="shared" si="0"/>
        <v>3</v>
      </c>
      <c r="AG13" s="38">
        <f t="shared" si="0"/>
        <v>4</v>
      </c>
      <c r="AH13" s="38">
        <f t="shared" si="0"/>
        <v>5</v>
      </c>
      <c r="AI13" s="38">
        <f t="shared" si="0"/>
        <v>6</v>
      </c>
      <c r="AJ13" s="38"/>
      <c r="AK13" s="119"/>
      <c r="AL13" s="38">
        <f>WEEKDAY($D$1+AL12)</f>
        <v>5</v>
      </c>
      <c r="AM13" s="38">
        <f t="shared" ref="AM13:BO13" si="1">WEEKDAY($D$1+AM12)</f>
        <v>6</v>
      </c>
      <c r="AN13" s="38">
        <f t="shared" si="1"/>
        <v>7</v>
      </c>
      <c r="AO13" s="38">
        <f t="shared" si="1"/>
        <v>1</v>
      </c>
      <c r="AP13" s="38">
        <f t="shared" si="1"/>
        <v>2</v>
      </c>
      <c r="AQ13" s="38">
        <f t="shared" si="1"/>
        <v>3</v>
      </c>
      <c r="AR13" s="38">
        <f t="shared" si="1"/>
        <v>4</v>
      </c>
      <c r="AS13" s="38">
        <f t="shared" si="1"/>
        <v>5</v>
      </c>
      <c r="AT13" s="38">
        <f t="shared" si="1"/>
        <v>6</v>
      </c>
      <c r="AU13" s="38">
        <f t="shared" si="1"/>
        <v>7</v>
      </c>
      <c r="AV13" s="38">
        <f t="shared" si="1"/>
        <v>1</v>
      </c>
      <c r="AW13" s="38">
        <f t="shared" si="1"/>
        <v>2</v>
      </c>
      <c r="AX13" s="38">
        <f t="shared" si="1"/>
        <v>3</v>
      </c>
      <c r="AY13" s="38">
        <f t="shared" si="1"/>
        <v>4</v>
      </c>
      <c r="AZ13" s="38">
        <f t="shared" si="1"/>
        <v>5</v>
      </c>
      <c r="BA13" s="38">
        <f t="shared" si="1"/>
        <v>6</v>
      </c>
      <c r="BB13" s="38">
        <f t="shared" si="1"/>
        <v>7</v>
      </c>
      <c r="BC13" s="38">
        <f t="shared" si="1"/>
        <v>1</v>
      </c>
      <c r="BD13" s="38">
        <f t="shared" si="1"/>
        <v>2</v>
      </c>
      <c r="BE13" s="38">
        <f t="shared" si="1"/>
        <v>3</v>
      </c>
      <c r="BF13" s="38">
        <f t="shared" si="1"/>
        <v>4</v>
      </c>
      <c r="BG13" s="38">
        <f t="shared" si="1"/>
        <v>5</v>
      </c>
      <c r="BH13" s="38">
        <f t="shared" si="1"/>
        <v>6</v>
      </c>
      <c r="BI13" s="38">
        <f t="shared" si="1"/>
        <v>7</v>
      </c>
      <c r="BJ13" s="38">
        <f t="shared" si="1"/>
        <v>1</v>
      </c>
      <c r="BK13" s="38">
        <f t="shared" si="1"/>
        <v>2</v>
      </c>
      <c r="BL13" s="38">
        <f t="shared" si="1"/>
        <v>3</v>
      </c>
      <c r="BM13" s="38">
        <f t="shared" si="1"/>
        <v>4</v>
      </c>
      <c r="BN13" s="38">
        <f t="shared" si="1"/>
        <v>5</v>
      </c>
      <c r="BO13" s="38">
        <f t="shared" si="1"/>
        <v>6</v>
      </c>
      <c r="BP13" s="38"/>
      <c r="BQ13" s="119"/>
      <c r="BR13" s="124"/>
      <c r="BS13" s="124"/>
      <c r="BT13" s="119"/>
      <c r="BU13" s="120"/>
      <c r="BW13" s="78"/>
      <c r="BX13" s="78"/>
    </row>
    <row r="14" spans="1:76" x14ac:dyDescent="0.3">
      <c r="A14" s="78"/>
      <c r="C14" s="4">
        <v>1</v>
      </c>
      <c r="D14" s="5" t="str">
        <f>IF(VLOOKUP(C14,DSNV!$C$8:$N$48,3,FALSE)=0,"",VLOOKUP(C14,DSNV!$C$8:$N$48,3,FALSE))</f>
        <v>Nguyễn Võ Như Bình</v>
      </c>
      <c r="E14" s="4" t="str">
        <f>IF(VLOOKUP(C14,DSNV!$C$8:$N$48,8,FALSE)="","",VLOOKUP(C14,DSNV!$C$8:$N$48,8,FALSE))</f>
        <v>Thành viên</v>
      </c>
      <c r="F14" s="4"/>
      <c r="G14" s="4"/>
      <c r="H14" s="4"/>
      <c r="I14" s="4"/>
      <c r="J14" s="4"/>
      <c r="K14" s="4">
        <v>2</v>
      </c>
      <c r="L14" s="4"/>
      <c r="M14" s="4"/>
      <c r="N14" s="4"/>
      <c r="O14" s="4"/>
      <c r="P14" s="4"/>
      <c r="Q14" s="4"/>
      <c r="R14" s="4"/>
      <c r="S14" s="4">
        <v>2</v>
      </c>
      <c r="T14" s="4">
        <v>1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>
        <f>SUM(F14:AJ14)</f>
        <v>5</v>
      </c>
      <c r="AL14" s="4">
        <v>2</v>
      </c>
      <c r="AM14" s="4"/>
      <c r="AN14" s="4"/>
      <c r="AO14" s="4"/>
      <c r="AP14" s="4"/>
      <c r="AQ14" s="4"/>
      <c r="AR14" s="4">
        <v>1</v>
      </c>
      <c r="AS14" s="4">
        <v>2</v>
      </c>
      <c r="AT14" s="4"/>
      <c r="AU14" s="4"/>
      <c r="AV14" s="4"/>
      <c r="AW14" s="4"/>
      <c r="AX14" s="4"/>
      <c r="AY14" s="4"/>
      <c r="AZ14" s="4">
        <v>2</v>
      </c>
      <c r="BA14" s="4"/>
      <c r="BB14" s="4"/>
      <c r="BC14" s="4"/>
      <c r="BD14" s="4"/>
      <c r="BE14" s="4"/>
      <c r="BF14" s="4"/>
      <c r="BG14" s="4">
        <v>2</v>
      </c>
      <c r="BH14" s="4"/>
      <c r="BI14" s="4"/>
      <c r="BJ14" s="4"/>
      <c r="BK14" s="4"/>
      <c r="BL14" s="4"/>
      <c r="BM14" s="4"/>
      <c r="BN14" s="4"/>
      <c r="BO14" s="4"/>
      <c r="BP14" s="4"/>
      <c r="BQ14" s="4">
        <f>SUM(AL14:BP14)</f>
        <v>9</v>
      </c>
      <c r="BR14" s="4"/>
      <c r="BS14" s="4"/>
      <c r="BT14" s="45">
        <f>SUM(AK14,BQ14:BS14)</f>
        <v>14</v>
      </c>
      <c r="BU14" s="5"/>
      <c r="BW14" s="78"/>
      <c r="BX14" s="78"/>
    </row>
    <row r="15" spans="1:76" x14ac:dyDescent="0.3">
      <c r="A15" s="78"/>
      <c r="C15" s="6">
        <v>2</v>
      </c>
      <c r="D15" s="5" t="str">
        <f>IF(VLOOKUP(C15,DSNV!$C$8:$N$48,3,FALSE)=0,"",VLOOKUP(C15,DSNV!$C$8:$N$48,3,FALSE))</f>
        <v>Võ Khánh Đoan</v>
      </c>
      <c r="E15" s="4" t="str">
        <f>IF(VLOOKUP(C15,DSNV!$C$8:$N$48,8,FALSE)="","",VLOOKUP(C15,DSNV!$C$8:$N$48,8,FALSE))</f>
        <v>Thành viên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>
        <v>1</v>
      </c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>
        <v>1</v>
      </c>
      <c r="AG15" s="6"/>
      <c r="AH15" s="6"/>
      <c r="AI15" s="6"/>
      <c r="AJ15" s="6"/>
      <c r="AK15" s="4">
        <f t="shared" ref="AK15:AK53" si="2">SUM(F15:AJ15)</f>
        <v>2</v>
      </c>
      <c r="AL15" s="6">
        <v>2</v>
      </c>
      <c r="AM15" s="6">
        <v>1</v>
      </c>
      <c r="AN15" s="6"/>
      <c r="AO15" s="6"/>
      <c r="AP15" s="6">
        <v>1</v>
      </c>
      <c r="AQ15" s="6"/>
      <c r="AR15" s="6">
        <v>1</v>
      </c>
      <c r="AS15" s="6">
        <v>2</v>
      </c>
      <c r="AT15" s="6"/>
      <c r="AU15" s="6"/>
      <c r="AV15" s="6"/>
      <c r="AW15" s="6"/>
      <c r="AX15" s="6">
        <v>2</v>
      </c>
      <c r="AY15" s="6"/>
      <c r="AZ15" s="6"/>
      <c r="BA15" s="6">
        <v>1</v>
      </c>
      <c r="BB15" s="6"/>
      <c r="BC15" s="6"/>
      <c r="BD15" s="6"/>
      <c r="BE15" s="6">
        <v>2</v>
      </c>
      <c r="BF15" s="6"/>
      <c r="BG15" s="6"/>
      <c r="BH15" s="6"/>
      <c r="BI15" s="6"/>
      <c r="BJ15" s="6"/>
      <c r="BK15" s="6"/>
      <c r="BL15" s="6"/>
      <c r="BM15" s="6">
        <v>1</v>
      </c>
      <c r="BN15" s="6">
        <v>2</v>
      </c>
      <c r="BO15" s="6"/>
      <c r="BP15" s="6"/>
      <c r="BQ15" s="4">
        <f t="shared" ref="BQ15:BQ53" si="3">SUM(AL15:BP15)</f>
        <v>15</v>
      </c>
      <c r="BR15" s="4"/>
      <c r="BS15" s="4"/>
      <c r="BT15" s="45">
        <f t="shared" ref="BT15:BT53" si="4">SUM(AK15,BQ15:BS15)</f>
        <v>17</v>
      </c>
      <c r="BU15" s="7"/>
      <c r="BW15" s="78"/>
      <c r="BX15" s="78"/>
    </row>
    <row r="16" spans="1:76" x14ac:dyDescent="0.3">
      <c r="A16" s="78"/>
      <c r="C16" s="6">
        <v>3</v>
      </c>
      <c r="D16" s="5" t="str">
        <f>IF(VLOOKUP(C16,DSNV!$C$8:$N$48,3,FALSE)=0,"",VLOOKUP(C16,DSNV!$C$8:$N$48,3,FALSE))</f>
        <v>Nguyễn Thu Hà</v>
      </c>
      <c r="E16" s="4" t="str">
        <f>IF(VLOOKUP(C16,DSNV!$C$8:$N$48,8,FALSE)="","",VLOOKUP(C16,DSNV!$C$8:$N$48,8,FALSE))</f>
        <v>Thành viên</v>
      </c>
      <c r="F16" s="6">
        <v>2</v>
      </c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>
        <v>2</v>
      </c>
      <c r="U16" s="6"/>
      <c r="V16" s="6"/>
      <c r="W16" s="6"/>
      <c r="X16" s="6"/>
      <c r="Y16" s="6"/>
      <c r="Z16" s="6"/>
      <c r="AA16" s="6">
        <v>2</v>
      </c>
      <c r="AB16" s="6"/>
      <c r="AC16" s="6"/>
      <c r="AD16" s="6"/>
      <c r="AE16" s="6"/>
      <c r="AF16" s="6"/>
      <c r="AG16" s="6"/>
      <c r="AH16" s="6"/>
      <c r="AI16" s="6"/>
      <c r="AJ16" s="6"/>
      <c r="AK16" s="4">
        <f t="shared" si="2"/>
        <v>6</v>
      </c>
      <c r="AL16" s="6"/>
      <c r="AM16" s="6"/>
      <c r="AN16" s="6"/>
      <c r="AO16" s="6"/>
      <c r="AP16" s="6">
        <v>2</v>
      </c>
      <c r="AQ16" s="6"/>
      <c r="AR16" s="6"/>
      <c r="AS16" s="6"/>
      <c r="AT16" s="6">
        <v>2</v>
      </c>
      <c r="AU16" s="6"/>
      <c r="AV16" s="6"/>
      <c r="AW16" s="6"/>
      <c r="AX16" s="6"/>
      <c r="AY16" s="6"/>
      <c r="AZ16" s="6"/>
      <c r="BA16" s="6">
        <v>2</v>
      </c>
      <c r="BB16" s="6"/>
      <c r="BC16" s="6"/>
      <c r="BD16" s="6">
        <v>2</v>
      </c>
      <c r="BE16" s="6"/>
      <c r="BF16" s="6"/>
      <c r="BG16" s="6"/>
      <c r="BH16" s="6">
        <v>2</v>
      </c>
      <c r="BI16" s="6"/>
      <c r="BJ16" s="6"/>
      <c r="BK16" s="6">
        <v>2</v>
      </c>
      <c r="BL16" s="6"/>
      <c r="BM16" s="6">
        <v>2</v>
      </c>
      <c r="BN16" s="6"/>
      <c r="BO16" s="6"/>
      <c r="BP16" s="6"/>
      <c r="BQ16" s="4">
        <f t="shared" si="3"/>
        <v>14</v>
      </c>
      <c r="BR16" s="4"/>
      <c r="BS16" s="4"/>
      <c r="BT16" s="45">
        <f t="shared" si="4"/>
        <v>20</v>
      </c>
      <c r="BU16" s="7"/>
      <c r="BW16" s="78"/>
      <c r="BX16" s="78"/>
    </row>
    <row r="17" spans="1:76" x14ac:dyDescent="0.3">
      <c r="A17" s="78"/>
      <c r="C17" s="6">
        <v>4</v>
      </c>
      <c r="D17" s="5" t="str">
        <f>IF(VLOOKUP(C17,DSNV!$C$8:$N$48,3,FALSE)=0,"",VLOOKUP(C17,DSNV!$C$8:$N$48,3,FALSE))</f>
        <v>Trương Thị Phú Hiệp</v>
      </c>
      <c r="E17" s="4" t="str">
        <f>IF(VLOOKUP(C17,DSNV!$C$8:$N$48,8,FALSE)="","",VLOOKUP(C17,DSNV!$C$8:$N$48,8,FALSE))</f>
        <v>Thành viên</v>
      </c>
      <c r="F17" s="6"/>
      <c r="G17" s="6"/>
      <c r="H17" s="6"/>
      <c r="I17" s="6"/>
      <c r="J17" s="6"/>
      <c r="K17" s="6"/>
      <c r="L17" s="6"/>
      <c r="M17" s="6">
        <v>2</v>
      </c>
      <c r="N17" s="6"/>
      <c r="O17" s="6"/>
      <c r="P17" s="6"/>
      <c r="Q17" s="6"/>
      <c r="R17" s="6">
        <v>2</v>
      </c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4">
        <f t="shared" si="2"/>
        <v>4</v>
      </c>
      <c r="AL17" s="6"/>
      <c r="AM17" s="6">
        <v>2</v>
      </c>
      <c r="AN17" s="6"/>
      <c r="AO17" s="6"/>
      <c r="AP17" s="6"/>
      <c r="AQ17" s="6">
        <v>2</v>
      </c>
      <c r="AR17" s="6"/>
      <c r="AS17" s="6"/>
      <c r="AT17" s="6"/>
      <c r="AU17" s="6"/>
      <c r="AV17" s="6"/>
      <c r="AW17" s="6"/>
      <c r="AX17" s="6"/>
      <c r="AY17" s="6"/>
      <c r="AZ17" s="6">
        <v>2</v>
      </c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>
        <v>2</v>
      </c>
      <c r="BM17" s="6"/>
      <c r="BN17" s="6">
        <v>2</v>
      </c>
      <c r="BO17" s="6"/>
      <c r="BP17" s="6"/>
      <c r="BQ17" s="4">
        <f t="shared" si="3"/>
        <v>10</v>
      </c>
      <c r="BR17" s="4"/>
      <c r="BS17" s="4"/>
      <c r="BT17" s="45">
        <f t="shared" si="4"/>
        <v>14</v>
      </c>
      <c r="BU17" s="7"/>
      <c r="BW17" s="78"/>
      <c r="BX17" s="78"/>
    </row>
    <row r="18" spans="1:76" x14ac:dyDescent="0.3">
      <c r="A18" s="78"/>
      <c r="C18" s="6">
        <v>5</v>
      </c>
      <c r="D18" s="5" t="str">
        <f>IF(VLOOKUP(C18,DSNV!$C$8:$N$48,3,FALSE)=0,"",VLOOKUP(C18,DSNV!$C$8:$N$48,3,FALSE))</f>
        <v>Nguyễn Thị Bích Hồng</v>
      </c>
      <c r="E18" s="4" t="str">
        <f>IF(VLOOKUP(C18,DSNV!$C$8:$N$48,8,FALSE)="","",VLOOKUP(C18,DSNV!$C$8:$N$48,8,FALSE))</f>
        <v>Thành viên</v>
      </c>
      <c r="F18" s="6"/>
      <c r="G18" s="6"/>
      <c r="H18" s="6"/>
      <c r="I18" s="6"/>
      <c r="J18" s="6"/>
      <c r="K18" s="6"/>
      <c r="L18" s="6">
        <v>2</v>
      </c>
      <c r="M18" s="6"/>
      <c r="N18" s="6"/>
      <c r="O18" s="6"/>
      <c r="P18" s="6"/>
      <c r="Q18" s="6"/>
      <c r="R18" s="6"/>
      <c r="S18" s="6"/>
      <c r="T18" s="6"/>
      <c r="U18" s="6">
        <v>2</v>
      </c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>
        <v>2</v>
      </c>
      <c r="AH18" s="6"/>
      <c r="AI18" s="6"/>
      <c r="AJ18" s="6"/>
      <c r="AK18" s="4">
        <f t="shared" si="2"/>
        <v>6</v>
      </c>
      <c r="AL18" s="6"/>
      <c r="AM18" s="6">
        <v>2</v>
      </c>
      <c r="AN18" s="6"/>
      <c r="AO18" s="6"/>
      <c r="AP18" s="6"/>
      <c r="AQ18" s="6"/>
      <c r="AR18" s="6"/>
      <c r="AS18" s="6"/>
      <c r="AT18" s="6">
        <v>2</v>
      </c>
      <c r="AU18" s="6"/>
      <c r="AV18" s="6"/>
      <c r="AW18" s="6"/>
      <c r="AX18" s="6"/>
      <c r="AY18" s="6">
        <v>2</v>
      </c>
      <c r="AZ18" s="6"/>
      <c r="BA18" s="6"/>
      <c r="BB18" s="6"/>
      <c r="BC18" s="6"/>
      <c r="BD18" s="6">
        <v>2</v>
      </c>
      <c r="BE18" s="6"/>
      <c r="BF18" s="6"/>
      <c r="BG18" s="6"/>
      <c r="BH18" s="6">
        <v>2</v>
      </c>
      <c r="BI18" s="6"/>
      <c r="BJ18" s="6"/>
      <c r="BK18" s="6"/>
      <c r="BL18" s="6"/>
      <c r="BM18" s="6"/>
      <c r="BN18" s="6"/>
      <c r="BO18" s="6"/>
      <c r="BP18" s="6"/>
      <c r="BQ18" s="4">
        <f t="shared" si="3"/>
        <v>10</v>
      </c>
      <c r="BR18" s="4"/>
      <c r="BS18" s="4"/>
      <c r="BT18" s="45">
        <f t="shared" si="4"/>
        <v>16</v>
      </c>
      <c r="BU18" s="7"/>
      <c r="BW18" s="78"/>
      <c r="BX18" s="78"/>
    </row>
    <row r="19" spans="1:76" x14ac:dyDescent="0.3">
      <c r="A19" s="78"/>
      <c r="C19" s="6">
        <v>6</v>
      </c>
      <c r="D19" s="5" t="str">
        <f>IF(VLOOKUP(C19,DSNV!$C$8:$N$48,3,FALSE)=0,"",VLOOKUP(C19,DSNV!$C$8:$N$48,3,FALSE))</f>
        <v>Phạm Thị Ngọc Hồng</v>
      </c>
      <c r="E19" s="4" t="str">
        <f>IF(VLOOKUP(C19,DSNV!$C$8:$N$48,8,FALSE)="","",VLOOKUP(C19,DSNV!$C$8:$N$48,8,FALSE))</f>
        <v>Thành viên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>
        <v>2</v>
      </c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4">
        <f t="shared" si="2"/>
        <v>2</v>
      </c>
      <c r="AL19" s="6"/>
      <c r="AM19" s="6"/>
      <c r="AN19" s="6"/>
      <c r="AO19" s="6"/>
      <c r="AP19" s="6">
        <v>1</v>
      </c>
      <c r="AQ19" s="6">
        <v>1</v>
      </c>
      <c r="AR19" s="6"/>
      <c r="AS19" s="6"/>
      <c r="AT19" s="6"/>
      <c r="AU19" s="6"/>
      <c r="AV19" s="6"/>
      <c r="AW19" s="6">
        <v>1</v>
      </c>
      <c r="AX19" s="6">
        <v>2</v>
      </c>
      <c r="AY19" s="6"/>
      <c r="AZ19" s="6"/>
      <c r="BA19" s="6"/>
      <c r="BB19" s="6"/>
      <c r="BC19" s="6"/>
      <c r="BD19" s="6">
        <v>2</v>
      </c>
      <c r="BE19" s="6"/>
      <c r="BF19" s="6"/>
      <c r="BG19" s="6"/>
      <c r="BH19" s="6"/>
      <c r="BI19" s="6"/>
      <c r="BJ19" s="6"/>
      <c r="BK19" s="6"/>
      <c r="BL19" s="6">
        <v>2</v>
      </c>
      <c r="BM19" s="6"/>
      <c r="BN19" s="6"/>
      <c r="BO19" s="6"/>
      <c r="BP19" s="6"/>
      <c r="BQ19" s="4">
        <f t="shared" si="3"/>
        <v>9</v>
      </c>
      <c r="BR19" s="4">
        <f>BQ19/2</f>
        <v>4.5</v>
      </c>
      <c r="BS19" s="4"/>
      <c r="BT19" s="45">
        <f t="shared" si="4"/>
        <v>15.5</v>
      </c>
      <c r="BU19" s="7"/>
      <c r="BW19" s="78"/>
      <c r="BX19" s="78"/>
    </row>
    <row r="20" spans="1:76" x14ac:dyDescent="0.3">
      <c r="A20" s="78"/>
      <c r="C20" s="6">
        <v>7</v>
      </c>
      <c r="D20" s="5" t="str">
        <f>IF(VLOOKUP(C20,DSNV!$C$8:$N$48,3,FALSE)=0,"",VLOOKUP(C20,DSNV!$C$8:$N$48,3,FALSE))</f>
        <v>Phạm Thị Huệ</v>
      </c>
      <c r="E20" s="4" t="str">
        <f>IF(VLOOKUP(C20,DSNV!$C$8:$N$48,8,FALSE)="","",VLOOKUP(C20,DSNV!$C$8:$N$48,8,FALSE))</f>
        <v>Trưởng ban</v>
      </c>
      <c r="F20" s="6"/>
      <c r="G20" s="6"/>
      <c r="H20" s="6"/>
      <c r="I20" s="6"/>
      <c r="J20" s="6">
        <v>2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>
        <v>2</v>
      </c>
      <c r="Y20" s="6"/>
      <c r="Z20" s="6"/>
      <c r="AA20" s="6"/>
      <c r="AB20" s="6"/>
      <c r="AC20" s="6"/>
      <c r="AD20" s="6"/>
      <c r="AE20" s="6"/>
      <c r="AF20" s="6"/>
      <c r="AG20" s="6">
        <v>1</v>
      </c>
      <c r="AH20" s="6"/>
      <c r="AI20" s="6"/>
      <c r="AJ20" s="6"/>
      <c r="AK20" s="4">
        <f t="shared" si="2"/>
        <v>5</v>
      </c>
      <c r="AL20" s="6"/>
      <c r="AM20" s="6"/>
      <c r="AN20" s="6"/>
      <c r="AO20" s="6"/>
      <c r="AP20" s="6"/>
      <c r="AQ20" s="6"/>
      <c r="AR20" s="6">
        <v>1</v>
      </c>
      <c r="AS20" s="6"/>
      <c r="AT20" s="6"/>
      <c r="AU20" s="6"/>
      <c r="AV20" s="6"/>
      <c r="AW20" s="6">
        <v>2</v>
      </c>
      <c r="AX20" s="6"/>
      <c r="AY20" s="6">
        <v>1</v>
      </c>
      <c r="AZ20" s="6"/>
      <c r="BA20" s="6">
        <v>1</v>
      </c>
      <c r="BB20" s="6"/>
      <c r="BC20" s="6"/>
      <c r="BD20" s="6"/>
      <c r="BE20" s="6"/>
      <c r="BF20" s="6"/>
      <c r="BG20" s="6"/>
      <c r="BH20" s="6"/>
      <c r="BI20" s="6"/>
      <c r="BJ20" s="6"/>
      <c r="BK20" s="6">
        <v>2</v>
      </c>
      <c r="BL20" s="6"/>
      <c r="BM20" s="6"/>
      <c r="BN20" s="6"/>
      <c r="BO20" s="6"/>
      <c r="BP20" s="6"/>
      <c r="BQ20" s="4">
        <f t="shared" si="3"/>
        <v>7</v>
      </c>
      <c r="BR20" s="4">
        <f t="shared" ref="BR20:BR21" si="5">BQ20/2</f>
        <v>3.5</v>
      </c>
      <c r="BS20" s="4">
        <v>5</v>
      </c>
      <c r="BT20" s="45">
        <f t="shared" si="4"/>
        <v>20.5</v>
      </c>
      <c r="BU20" s="7" t="s">
        <v>166</v>
      </c>
      <c r="BW20" s="78"/>
      <c r="BX20" s="78"/>
    </row>
    <row r="21" spans="1:76" x14ac:dyDescent="0.3">
      <c r="A21" s="78"/>
      <c r="C21" s="6">
        <v>8</v>
      </c>
      <c r="D21" s="5" t="str">
        <f>IF(VLOOKUP(C21,DSNV!$C$8:$N$48,3,FALSE)=0,"",VLOOKUP(C21,DSNV!$C$8:$N$48,3,FALSE))</f>
        <v>Nguyễn Thị Quỳnh Hương</v>
      </c>
      <c r="E21" s="4" t="str">
        <f>IF(VLOOKUP(C21,DSNV!$C$8:$N$48,8,FALSE)="","",VLOOKUP(C21,DSNV!$C$8:$N$48,8,FALSE))</f>
        <v>Trưởng ban</v>
      </c>
      <c r="F21" s="6"/>
      <c r="G21" s="6"/>
      <c r="H21" s="6"/>
      <c r="I21" s="6"/>
      <c r="J21" s="6"/>
      <c r="K21" s="6"/>
      <c r="L21" s="6"/>
      <c r="M21" s="6"/>
      <c r="N21" s="6">
        <v>2</v>
      </c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4">
        <f t="shared" si="2"/>
        <v>2</v>
      </c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>
        <v>2</v>
      </c>
      <c r="AY21" s="6"/>
      <c r="AZ21" s="6"/>
      <c r="BA21" s="6"/>
      <c r="BB21" s="6"/>
      <c r="BC21" s="6"/>
      <c r="BD21" s="6"/>
      <c r="BE21" s="6">
        <v>2</v>
      </c>
      <c r="BF21" s="6"/>
      <c r="BG21" s="6"/>
      <c r="BH21" s="6"/>
      <c r="BI21" s="6"/>
      <c r="BJ21" s="6"/>
      <c r="BK21" s="6"/>
      <c r="BL21" s="6"/>
      <c r="BM21" s="6"/>
      <c r="BN21" s="6">
        <v>2</v>
      </c>
      <c r="BO21" s="6"/>
      <c r="BP21" s="6"/>
      <c r="BQ21" s="4">
        <f t="shared" si="3"/>
        <v>6</v>
      </c>
      <c r="BR21" s="4">
        <f t="shared" si="5"/>
        <v>3</v>
      </c>
      <c r="BS21" s="4"/>
      <c r="BT21" s="45">
        <f t="shared" si="4"/>
        <v>11</v>
      </c>
      <c r="BU21" s="7"/>
      <c r="BW21" s="78"/>
      <c r="BX21" s="78"/>
    </row>
    <row r="22" spans="1:76" x14ac:dyDescent="0.3">
      <c r="A22" s="78"/>
      <c r="C22" s="6">
        <v>9</v>
      </c>
      <c r="D22" s="5" t="str">
        <f>IF(VLOOKUP(C22,DSNV!$C$8:$N$48,3,FALSE)=0,"",VLOOKUP(C22,DSNV!$C$8:$N$48,3,FALSE))</f>
        <v>Huỳnh Thanh Huyên</v>
      </c>
      <c r="E22" s="4" t="str">
        <f>IF(VLOOKUP(C22,DSNV!$C$8:$N$48,8,FALSE)="","",VLOOKUP(C22,DSNV!$C$8:$N$48,8,FALSE))</f>
        <v>Thành viên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>
        <v>1</v>
      </c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4">
        <f t="shared" si="2"/>
        <v>1</v>
      </c>
      <c r="AL22" s="6"/>
      <c r="AM22" s="6"/>
      <c r="AN22" s="6"/>
      <c r="AO22" s="6"/>
      <c r="AP22" s="6"/>
      <c r="AQ22" s="6">
        <v>2</v>
      </c>
      <c r="AR22" s="6"/>
      <c r="AS22" s="6"/>
      <c r="AT22" s="6"/>
      <c r="AU22" s="6"/>
      <c r="AV22" s="6"/>
      <c r="AW22" s="6"/>
      <c r="AX22" s="6"/>
      <c r="AY22" s="6">
        <v>3</v>
      </c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>
        <v>2</v>
      </c>
      <c r="BN22" s="6"/>
      <c r="BO22" s="6"/>
      <c r="BP22" s="6"/>
      <c r="BQ22" s="4">
        <f t="shared" si="3"/>
        <v>7</v>
      </c>
      <c r="BR22" s="4"/>
      <c r="BS22" s="4"/>
      <c r="BT22" s="45">
        <f t="shared" si="4"/>
        <v>8</v>
      </c>
      <c r="BU22" s="7"/>
      <c r="BW22" s="78"/>
      <c r="BX22" s="78"/>
    </row>
    <row r="23" spans="1:76" x14ac:dyDescent="0.3">
      <c r="A23" s="78"/>
      <c r="C23" s="6">
        <v>10</v>
      </c>
      <c r="D23" s="5" t="str">
        <f>IF(VLOOKUP(C23,DSNV!$C$8:$N$48,3,FALSE)=0,"",VLOOKUP(C23,DSNV!$C$8:$N$48,3,FALSE))</f>
        <v>Lê Hữu Di Mi</v>
      </c>
      <c r="E23" s="4" t="str">
        <f>IF(VLOOKUP(C23,DSNV!$C$8:$N$48,8,FALSE)="","",VLOOKUP(C23,DSNV!$C$8:$N$48,8,FALSE))</f>
        <v>Thành viên</v>
      </c>
      <c r="F23" s="6">
        <v>1</v>
      </c>
      <c r="G23" s="6"/>
      <c r="H23" s="6"/>
      <c r="I23" s="6"/>
      <c r="J23" s="6"/>
      <c r="K23" s="6"/>
      <c r="L23" s="6"/>
      <c r="M23" s="6"/>
      <c r="N23" s="6">
        <v>1</v>
      </c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>
        <v>2</v>
      </c>
      <c r="AB23" s="6">
        <v>3</v>
      </c>
      <c r="AC23" s="6"/>
      <c r="AD23" s="6"/>
      <c r="AE23" s="6">
        <v>2</v>
      </c>
      <c r="AF23" s="6">
        <v>1</v>
      </c>
      <c r="AG23" s="6"/>
      <c r="AH23" s="6"/>
      <c r="AI23" s="6"/>
      <c r="AJ23" s="6"/>
      <c r="AK23" s="4">
        <f t="shared" si="2"/>
        <v>10</v>
      </c>
      <c r="AL23" s="6"/>
      <c r="AM23" s="6"/>
      <c r="AN23" s="6"/>
      <c r="AO23" s="6"/>
      <c r="AP23" s="6">
        <v>1</v>
      </c>
      <c r="AQ23" s="6">
        <v>2</v>
      </c>
      <c r="AR23" s="6"/>
      <c r="AS23" s="6">
        <v>2</v>
      </c>
      <c r="AT23" s="6"/>
      <c r="AU23" s="6"/>
      <c r="AV23" s="6"/>
      <c r="AW23" s="6">
        <v>4</v>
      </c>
      <c r="AX23" s="6">
        <v>2</v>
      </c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4">
        <f t="shared" si="3"/>
        <v>11</v>
      </c>
      <c r="BR23" s="4"/>
      <c r="BS23" s="4"/>
      <c r="BT23" s="45">
        <f t="shared" si="4"/>
        <v>21</v>
      </c>
      <c r="BU23" s="7"/>
      <c r="BW23" s="78"/>
      <c r="BX23" s="78"/>
    </row>
    <row r="24" spans="1:76" x14ac:dyDescent="0.3">
      <c r="A24" s="78"/>
      <c r="C24" s="6">
        <v>11</v>
      </c>
      <c r="D24" s="5" t="str">
        <f>IF(VLOOKUP(C24,DSNV!$C$8:$N$48,3,FALSE)=0,"",VLOOKUP(C24,DSNV!$C$8:$N$48,3,FALSE))</f>
        <v>Nguyễn Nhựt Minh</v>
      </c>
      <c r="E24" s="4" t="str">
        <f>IF(VLOOKUP(C24,DSNV!$C$8:$N$48,8,FALSE)="","",VLOOKUP(C24,DSNV!$C$8:$N$48,8,FALSE))</f>
        <v>Trưởng ban</v>
      </c>
      <c r="F24" s="6">
        <v>1</v>
      </c>
      <c r="G24" s="6"/>
      <c r="H24" s="6"/>
      <c r="I24" s="6"/>
      <c r="J24" s="6"/>
      <c r="K24" s="6">
        <v>2</v>
      </c>
      <c r="L24" s="6"/>
      <c r="M24" s="6"/>
      <c r="N24" s="6"/>
      <c r="O24" s="6"/>
      <c r="P24" s="6"/>
      <c r="Q24" s="6"/>
      <c r="R24" s="6">
        <v>2</v>
      </c>
      <c r="S24" s="6"/>
      <c r="T24" s="6">
        <v>1</v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>
        <v>2</v>
      </c>
      <c r="AG24" s="6">
        <v>1</v>
      </c>
      <c r="AH24" s="6"/>
      <c r="AI24" s="6"/>
      <c r="AJ24" s="6"/>
      <c r="AK24" s="4">
        <f t="shared" si="2"/>
        <v>9</v>
      </c>
      <c r="AL24" s="6">
        <v>1</v>
      </c>
      <c r="AM24" s="6"/>
      <c r="AN24" s="6"/>
      <c r="AO24" s="6"/>
      <c r="AP24" s="6"/>
      <c r="AQ24" s="6"/>
      <c r="AR24" s="6"/>
      <c r="AS24" s="6"/>
      <c r="AT24" s="6">
        <v>2</v>
      </c>
      <c r="AU24" s="6"/>
      <c r="AV24" s="6"/>
      <c r="AW24" s="6"/>
      <c r="AX24" s="6"/>
      <c r="AY24" s="6"/>
      <c r="AZ24" s="6"/>
      <c r="BA24" s="6">
        <v>2</v>
      </c>
      <c r="BB24" s="6"/>
      <c r="BC24" s="6"/>
      <c r="BD24" s="6"/>
      <c r="BE24" s="6"/>
      <c r="BF24" s="6"/>
      <c r="BG24" s="6">
        <v>2</v>
      </c>
      <c r="BH24" s="6"/>
      <c r="BI24" s="6"/>
      <c r="BJ24" s="6"/>
      <c r="BK24" s="6"/>
      <c r="BL24" s="6"/>
      <c r="BM24" s="6"/>
      <c r="BN24" s="6">
        <v>2</v>
      </c>
      <c r="BO24" s="6"/>
      <c r="BP24" s="6"/>
      <c r="BQ24" s="4">
        <f t="shared" si="3"/>
        <v>9</v>
      </c>
      <c r="BR24" s="4">
        <f>BQ24/2</f>
        <v>4.5</v>
      </c>
      <c r="BS24" s="4"/>
      <c r="BT24" s="45">
        <f t="shared" si="4"/>
        <v>22.5</v>
      </c>
      <c r="BU24" s="7"/>
      <c r="BW24" s="78"/>
      <c r="BX24" s="78"/>
    </row>
    <row r="25" spans="1:76" x14ac:dyDescent="0.3">
      <c r="A25" s="78"/>
      <c r="C25" s="6">
        <v>12</v>
      </c>
      <c r="D25" s="5" t="str">
        <f>IF(VLOOKUP(C25,DSNV!$C$8:$N$48,3,FALSE)=0,"",VLOOKUP(C25,DSNV!$C$8:$N$48,3,FALSE))</f>
        <v>Lê Thảo Nguyên</v>
      </c>
      <c r="E25" s="4" t="str">
        <f>IF(VLOOKUP(C25,DSNV!$C$8:$N$48,8,FALSE)="","",VLOOKUP(C25,DSNV!$C$8:$N$48,8,FALSE))</f>
        <v>Thành viên</v>
      </c>
      <c r="F25" s="6"/>
      <c r="G25" s="6">
        <v>2</v>
      </c>
      <c r="H25" s="6"/>
      <c r="I25" s="6"/>
      <c r="J25" s="6"/>
      <c r="K25" s="6"/>
      <c r="L25" s="6">
        <v>1</v>
      </c>
      <c r="M25" s="6"/>
      <c r="N25" s="6"/>
      <c r="O25" s="6"/>
      <c r="P25" s="6"/>
      <c r="Q25" s="6"/>
      <c r="R25" s="6"/>
      <c r="S25" s="6">
        <v>1</v>
      </c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4">
        <f t="shared" si="2"/>
        <v>4</v>
      </c>
      <c r="AL25" s="6"/>
      <c r="AM25" s="6"/>
      <c r="AN25" s="6"/>
      <c r="AO25" s="6"/>
      <c r="AP25" s="6"/>
      <c r="AQ25" s="6"/>
      <c r="AR25" s="6"/>
      <c r="AS25" s="6"/>
      <c r="AT25" s="6">
        <v>2</v>
      </c>
      <c r="AU25" s="6"/>
      <c r="AV25" s="6"/>
      <c r="AW25" s="6"/>
      <c r="AX25" s="6"/>
      <c r="AY25" s="6">
        <v>1</v>
      </c>
      <c r="AZ25" s="6"/>
      <c r="BA25" s="6"/>
      <c r="BB25" s="6"/>
      <c r="BC25" s="6"/>
      <c r="BD25" s="6"/>
      <c r="BE25" s="6">
        <v>2</v>
      </c>
      <c r="BF25" s="6"/>
      <c r="BG25" s="6"/>
      <c r="BH25" s="6">
        <v>2</v>
      </c>
      <c r="BI25" s="6"/>
      <c r="BJ25" s="6"/>
      <c r="BK25" s="6"/>
      <c r="BL25" s="6"/>
      <c r="BM25" s="6">
        <v>1</v>
      </c>
      <c r="BN25" s="6"/>
      <c r="BO25" s="6"/>
      <c r="BP25" s="6"/>
      <c r="BQ25" s="4">
        <f t="shared" si="3"/>
        <v>8</v>
      </c>
      <c r="BR25" s="4">
        <f>BQ25/2</f>
        <v>4</v>
      </c>
      <c r="BS25" s="4"/>
      <c r="BT25" s="45">
        <f t="shared" si="4"/>
        <v>16</v>
      </c>
      <c r="BU25" s="7"/>
      <c r="BW25" s="78"/>
      <c r="BX25" s="78"/>
    </row>
    <row r="26" spans="1:76" x14ac:dyDescent="0.3">
      <c r="A26" s="78"/>
      <c r="C26" s="6">
        <v>13</v>
      </c>
      <c r="D26" s="5" t="str">
        <f>IF(VLOOKUP(C26,DSNV!$C$8:$N$48,3,FALSE)=0,"",VLOOKUP(C26,DSNV!$C$8:$N$48,3,FALSE))</f>
        <v>Võ Thị Xuân Nữ</v>
      </c>
      <c r="E26" s="4" t="str">
        <f>IF(VLOOKUP(C26,DSNV!$C$8:$N$48,8,FALSE)="","",VLOOKUP(C26,DSNV!$C$8:$N$48,8,FALSE))</f>
        <v>Thành viên</v>
      </c>
      <c r="F26" s="6"/>
      <c r="G26" s="6">
        <v>2</v>
      </c>
      <c r="H26" s="6"/>
      <c r="I26" s="6"/>
      <c r="J26" s="6"/>
      <c r="K26" s="6"/>
      <c r="L26" s="6"/>
      <c r="M26" s="6"/>
      <c r="N26" s="6">
        <v>1</v>
      </c>
      <c r="O26" s="6"/>
      <c r="P26" s="6"/>
      <c r="Q26" s="6">
        <v>1</v>
      </c>
      <c r="R26" s="6"/>
      <c r="S26" s="6"/>
      <c r="T26" s="6"/>
      <c r="U26" s="6"/>
      <c r="V26" s="6"/>
      <c r="W26" s="6"/>
      <c r="X26" s="6"/>
      <c r="Y26" s="6"/>
      <c r="Z26" s="6"/>
      <c r="AA26" s="6"/>
      <c r="AB26" s="6">
        <v>1</v>
      </c>
      <c r="AC26" s="6"/>
      <c r="AD26" s="6"/>
      <c r="AE26" s="6"/>
      <c r="AF26" s="6"/>
      <c r="AG26" s="6"/>
      <c r="AH26" s="6">
        <v>1</v>
      </c>
      <c r="AI26" s="6"/>
      <c r="AJ26" s="6"/>
      <c r="AK26" s="4">
        <f t="shared" si="2"/>
        <v>6</v>
      </c>
      <c r="AL26" s="6"/>
      <c r="AM26" s="6">
        <v>1</v>
      </c>
      <c r="AN26" s="6"/>
      <c r="AO26" s="6"/>
      <c r="AP26" s="6">
        <v>1</v>
      </c>
      <c r="AQ26" s="6"/>
      <c r="AR26" s="6">
        <v>1</v>
      </c>
      <c r="AS26" s="6"/>
      <c r="AT26" s="6"/>
      <c r="AU26" s="6"/>
      <c r="AV26" s="6"/>
      <c r="AW26" s="6">
        <v>1</v>
      </c>
      <c r="AX26" s="6"/>
      <c r="AY26" s="6">
        <v>1</v>
      </c>
      <c r="AZ26" s="6"/>
      <c r="BA26" s="6">
        <v>1</v>
      </c>
      <c r="BB26" s="6"/>
      <c r="BC26" s="6"/>
      <c r="BD26" s="6"/>
      <c r="BE26" s="6"/>
      <c r="BF26" s="6"/>
      <c r="BG26" s="6">
        <v>1</v>
      </c>
      <c r="BH26" s="6"/>
      <c r="BI26" s="6"/>
      <c r="BJ26" s="6"/>
      <c r="BK26" s="6"/>
      <c r="BL26" s="6"/>
      <c r="BM26" s="6">
        <v>2</v>
      </c>
      <c r="BN26" s="6"/>
      <c r="BO26" s="6"/>
      <c r="BP26" s="6"/>
      <c r="BQ26" s="4">
        <f t="shared" si="3"/>
        <v>9</v>
      </c>
      <c r="BR26" s="4"/>
      <c r="BS26" s="4"/>
      <c r="BT26" s="45">
        <f t="shared" si="4"/>
        <v>15</v>
      </c>
      <c r="BU26" s="7"/>
      <c r="BW26" s="78"/>
      <c r="BX26" s="78"/>
    </row>
    <row r="27" spans="1:76" x14ac:dyDescent="0.3">
      <c r="A27" s="78"/>
      <c r="C27" s="6">
        <v>14</v>
      </c>
      <c r="D27" s="5" t="str">
        <f>IF(VLOOKUP(C27,DSNV!$C$8:$N$48,3,FALSE)=0,"",VLOOKUP(C27,DSNV!$C$8:$N$48,3,FALSE))</f>
        <v>Đỗ Thị Lan Phương</v>
      </c>
      <c r="E27" s="4" t="str">
        <f>IF(VLOOKUP(C27,DSNV!$C$8:$N$48,8,FALSE)="","",VLOOKUP(C27,DSNV!$C$8:$N$48,8,FALSE))</f>
        <v>Thành viên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>
        <v>3</v>
      </c>
      <c r="AI27" s="6"/>
      <c r="AJ27" s="6"/>
      <c r="AK27" s="4">
        <f t="shared" si="2"/>
        <v>3</v>
      </c>
      <c r="AL27" s="6"/>
      <c r="AM27" s="6">
        <v>2</v>
      </c>
      <c r="AN27" s="6"/>
      <c r="AO27" s="6"/>
      <c r="AP27" s="6"/>
      <c r="AQ27" s="6"/>
      <c r="AR27" s="6"/>
      <c r="AS27" s="6">
        <v>2</v>
      </c>
      <c r="AT27" s="6"/>
      <c r="AU27" s="6"/>
      <c r="AV27" s="6"/>
      <c r="AW27" s="6"/>
      <c r="AX27" s="6"/>
      <c r="AY27" s="6"/>
      <c r="AZ27" s="6">
        <v>2</v>
      </c>
      <c r="BA27" s="6">
        <v>1</v>
      </c>
      <c r="BB27" s="6"/>
      <c r="BC27" s="6"/>
      <c r="BD27" s="6"/>
      <c r="BE27" s="6">
        <v>2</v>
      </c>
      <c r="BF27" s="6"/>
      <c r="BG27" s="6"/>
      <c r="BH27" s="6">
        <v>2</v>
      </c>
      <c r="BI27" s="6"/>
      <c r="BJ27" s="6"/>
      <c r="BK27" s="6"/>
      <c r="BL27" s="6">
        <v>2</v>
      </c>
      <c r="BM27" s="6"/>
      <c r="BN27" s="6"/>
      <c r="BO27" s="6"/>
      <c r="BP27" s="6"/>
      <c r="BQ27" s="4">
        <f t="shared" si="3"/>
        <v>13</v>
      </c>
      <c r="BR27" s="4"/>
      <c r="BS27" s="4"/>
      <c r="BT27" s="45">
        <f t="shared" si="4"/>
        <v>16</v>
      </c>
      <c r="BU27" s="7"/>
      <c r="BW27" s="78"/>
      <c r="BX27" s="78"/>
    </row>
    <row r="28" spans="1:76" x14ac:dyDescent="0.3">
      <c r="A28" s="78"/>
      <c r="C28" s="6">
        <v>15</v>
      </c>
      <c r="D28" s="5" t="str">
        <f>IF(VLOOKUP(C28,DSNV!$C$8:$N$48,3,FALSE)=0,"",VLOOKUP(C28,DSNV!$C$8:$N$48,3,FALSE))</f>
        <v>Nguyễn Thị Nhã Quyên</v>
      </c>
      <c r="E28" s="4" t="str">
        <f>IF(VLOOKUP(C28,DSNV!$C$8:$N$48,8,FALSE)="","",VLOOKUP(C28,DSNV!$C$8:$N$48,8,FALSE))</f>
        <v>Thành viên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4">
        <f t="shared" si="2"/>
        <v>0</v>
      </c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4">
        <f t="shared" si="3"/>
        <v>0</v>
      </c>
      <c r="BR28" s="4">
        <f t="shared" ref="BR28:BR33" si="6">BQ28/2</f>
        <v>0</v>
      </c>
      <c r="BS28" s="4"/>
      <c r="BT28" s="45">
        <f t="shared" si="4"/>
        <v>0</v>
      </c>
      <c r="BU28" s="7"/>
      <c r="BW28" s="78"/>
      <c r="BX28" s="78"/>
    </row>
    <row r="29" spans="1:76" x14ac:dyDescent="0.3">
      <c r="A29" s="78"/>
      <c r="C29" s="6">
        <v>16</v>
      </c>
      <c r="D29" s="5" t="str">
        <f>IF(VLOOKUP(C29,DSNV!$C$8:$N$48,3,FALSE)=0,"",VLOOKUP(C29,DSNV!$C$8:$N$48,3,FALSE))</f>
        <v>Nguyễn Đức Vĩnh Thắng</v>
      </c>
      <c r="E29" s="4" t="str">
        <f>IF(VLOOKUP(C29,DSNV!$C$8:$N$48,8,FALSE)="","",VLOOKUP(C29,DSNV!$C$8:$N$48,8,FALSE))</f>
        <v>Trưởng ban</v>
      </c>
      <c r="F29" s="6"/>
      <c r="G29" s="6"/>
      <c r="H29" s="6"/>
      <c r="I29" s="6"/>
      <c r="J29" s="6">
        <v>2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>
        <v>2</v>
      </c>
      <c r="V29" s="6"/>
      <c r="W29" s="6"/>
      <c r="X29" s="6">
        <v>2</v>
      </c>
      <c r="Y29" s="6"/>
      <c r="Z29" s="6"/>
      <c r="AA29" s="6"/>
      <c r="AB29" s="6"/>
      <c r="AC29" s="6"/>
      <c r="AD29" s="6"/>
      <c r="AE29" s="6">
        <v>2</v>
      </c>
      <c r="AF29" s="6"/>
      <c r="AG29" s="6"/>
      <c r="AH29" s="6"/>
      <c r="AI29" s="6"/>
      <c r="AJ29" s="6"/>
      <c r="AK29" s="4">
        <f t="shared" si="2"/>
        <v>8</v>
      </c>
      <c r="AL29" s="6"/>
      <c r="AM29" s="6"/>
      <c r="AN29" s="6"/>
      <c r="AO29" s="6"/>
      <c r="AP29" s="6"/>
      <c r="AQ29" s="6"/>
      <c r="AR29" s="6">
        <v>2</v>
      </c>
      <c r="AS29" s="6"/>
      <c r="AT29" s="6"/>
      <c r="AU29" s="6"/>
      <c r="AV29" s="6"/>
      <c r="AW29" s="6">
        <v>2</v>
      </c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4">
        <f t="shared" si="3"/>
        <v>4</v>
      </c>
      <c r="BR29" s="4">
        <f t="shared" si="6"/>
        <v>2</v>
      </c>
      <c r="BS29" s="4"/>
      <c r="BT29" s="45">
        <f t="shared" si="4"/>
        <v>14</v>
      </c>
      <c r="BU29" s="7"/>
      <c r="BW29" s="78"/>
      <c r="BX29" s="78"/>
    </row>
    <row r="30" spans="1:76" x14ac:dyDescent="0.3">
      <c r="A30" s="78"/>
      <c r="C30" s="6">
        <v>17</v>
      </c>
      <c r="D30" s="5" t="str">
        <f>IF(VLOOKUP(C30,DSNV!$C$8:$N$48,3,FALSE)=0,"",VLOOKUP(C30,DSNV!$C$8:$N$48,3,FALSE))</f>
        <v>Nguyễn Thành Tiến</v>
      </c>
      <c r="E30" s="4" t="str">
        <f>IF(VLOOKUP(C30,DSNV!$C$8:$N$48,8,FALSE)="","",VLOOKUP(C30,DSNV!$C$8:$N$48,8,FALSE))</f>
        <v>Thành viên</v>
      </c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>
        <v>2</v>
      </c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4">
        <f t="shared" si="2"/>
        <v>2</v>
      </c>
      <c r="AL30" s="6"/>
      <c r="AM30" s="6"/>
      <c r="AN30" s="6"/>
      <c r="AO30" s="6"/>
      <c r="AP30" s="6">
        <v>2</v>
      </c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>
        <v>2</v>
      </c>
      <c r="BE30" s="6"/>
      <c r="BF30" s="6"/>
      <c r="BG30" s="6"/>
      <c r="BH30" s="6"/>
      <c r="BI30" s="6"/>
      <c r="BJ30" s="6"/>
      <c r="BK30" s="6">
        <v>2</v>
      </c>
      <c r="BL30" s="6"/>
      <c r="BM30" s="6"/>
      <c r="BN30" s="6"/>
      <c r="BO30" s="6"/>
      <c r="BP30" s="6"/>
      <c r="BQ30" s="4">
        <f t="shared" si="3"/>
        <v>6</v>
      </c>
      <c r="BR30" s="4">
        <f t="shared" si="6"/>
        <v>3</v>
      </c>
      <c r="BS30" s="4"/>
      <c r="BT30" s="45">
        <f t="shared" si="4"/>
        <v>11</v>
      </c>
      <c r="BU30" s="7"/>
      <c r="BW30" s="78"/>
      <c r="BX30" s="78"/>
    </row>
    <row r="31" spans="1:76" x14ac:dyDescent="0.3">
      <c r="A31" s="78"/>
      <c r="C31" s="6">
        <v>18</v>
      </c>
      <c r="D31" s="5" t="str">
        <f>IF(VLOOKUP(C31,DSNV!$C$8:$N$48,3,FALSE)=0,"",VLOOKUP(C31,DSNV!$C$8:$N$48,3,FALSE))</f>
        <v>Trần Thị Trúc</v>
      </c>
      <c r="E31" s="4" t="str">
        <f>IF(VLOOKUP(C31,DSNV!$C$8:$N$48,8,FALSE)="","",VLOOKUP(C31,DSNV!$C$8:$N$48,8,FALSE))</f>
        <v>Thành viên</v>
      </c>
      <c r="F31" s="6"/>
      <c r="G31" s="6"/>
      <c r="H31" s="6"/>
      <c r="I31" s="6"/>
      <c r="J31" s="6"/>
      <c r="K31" s="6"/>
      <c r="L31" s="6"/>
      <c r="M31" s="6">
        <v>2</v>
      </c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>
        <v>1</v>
      </c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4">
        <f t="shared" si="2"/>
        <v>3</v>
      </c>
      <c r="AL31" s="6">
        <v>2</v>
      </c>
      <c r="AM31" s="6"/>
      <c r="AN31" s="6"/>
      <c r="AO31" s="6"/>
      <c r="AP31" s="6"/>
      <c r="AQ31" s="6"/>
      <c r="AR31" s="6">
        <v>1</v>
      </c>
      <c r="AS31" s="6"/>
      <c r="AT31" s="6"/>
      <c r="AU31" s="6"/>
      <c r="AV31" s="6"/>
      <c r="AW31" s="6"/>
      <c r="AX31" s="6"/>
      <c r="AY31" s="6"/>
      <c r="AZ31" s="6">
        <v>2</v>
      </c>
      <c r="BA31" s="6"/>
      <c r="BB31" s="6"/>
      <c r="BC31" s="6"/>
      <c r="BD31" s="6"/>
      <c r="BE31" s="6"/>
      <c r="BF31" s="6"/>
      <c r="BG31" s="6">
        <v>2</v>
      </c>
      <c r="BH31" s="6"/>
      <c r="BI31" s="6"/>
      <c r="BJ31" s="6"/>
      <c r="BK31" s="6"/>
      <c r="BL31" s="6">
        <v>2</v>
      </c>
      <c r="BM31" s="6"/>
      <c r="BN31" s="6"/>
      <c r="BO31" s="6"/>
      <c r="BP31" s="6"/>
      <c r="BQ31" s="4">
        <f t="shared" si="3"/>
        <v>9</v>
      </c>
      <c r="BR31" s="4">
        <f t="shared" si="6"/>
        <v>4.5</v>
      </c>
      <c r="BS31" s="4"/>
      <c r="BT31" s="45">
        <f t="shared" si="4"/>
        <v>16.5</v>
      </c>
      <c r="BU31" s="7"/>
      <c r="BW31" s="78"/>
      <c r="BX31" s="78"/>
    </row>
    <row r="32" spans="1:76" x14ac:dyDescent="0.3">
      <c r="A32" s="78"/>
      <c r="C32" s="6">
        <v>19</v>
      </c>
      <c r="D32" s="5" t="str">
        <f>IF(VLOOKUP(C32,DSNV!$C$8:$N$48,3,FALSE)=0,"",VLOOKUP(C32,DSNV!$C$8:$N$48,3,FALSE))</f>
        <v>Bùi Hoàng Trung</v>
      </c>
      <c r="E32" s="4" t="str">
        <f>IF(VLOOKUP(C32,DSNV!$C$8:$N$48,8,FALSE)="","",VLOOKUP(C32,DSNV!$C$8:$N$48,8,FALSE))</f>
        <v>Thành viên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4">
        <f t="shared" si="2"/>
        <v>0</v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4">
        <f t="shared" si="3"/>
        <v>0</v>
      </c>
      <c r="BR32" s="4">
        <f t="shared" si="6"/>
        <v>0</v>
      </c>
      <c r="BS32" s="4"/>
      <c r="BT32" s="45">
        <f t="shared" si="4"/>
        <v>0</v>
      </c>
      <c r="BU32" s="7"/>
      <c r="BW32" s="78"/>
      <c r="BX32" s="78"/>
    </row>
    <row r="33" spans="1:76" ht="15" thickBot="1" x14ac:dyDescent="0.35">
      <c r="A33" s="78"/>
      <c r="C33" s="6">
        <v>20</v>
      </c>
      <c r="D33" s="5" t="str">
        <f>IF(VLOOKUP(C33,DSNV!$C$8:$N$48,3,FALSE)=0,"",VLOOKUP(C33,DSNV!$C$8:$N$48,3,FALSE))</f>
        <v>Ngô Trúc Tường Vy</v>
      </c>
      <c r="E33" s="4" t="str">
        <f>IF(VLOOKUP(C33,DSNV!$C$8:$N$48,8,FALSE)="","",VLOOKUP(C33,DSNV!$C$8:$N$48,8,FALSE))</f>
        <v>Trưởng ban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4">
        <f t="shared" si="2"/>
        <v>0</v>
      </c>
      <c r="AL33" s="6">
        <v>1</v>
      </c>
      <c r="AM33" s="6"/>
      <c r="AN33" s="6"/>
      <c r="AO33" s="6"/>
      <c r="AP33" s="6"/>
      <c r="AQ33" s="6">
        <v>1</v>
      </c>
      <c r="AR33" s="6">
        <v>1</v>
      </c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>
        <v>1</v>
      </c>
      <c r="BH33" s="6"/>
      <c r="BI33" s="6"/>
      <c r="BJ33" s="6"/>
      <c r="BK33" s="6">
        <v>2</v>
      </c>
      <c r="BL33" s="6"/>
      <c r="BM33" s="6"/>
      <c r="BN33" s="6"/>
      <c r="BO33" s="6"/>
      <c r="BP33" s="6"/>
      <c r="BQ33" s="4">
        <f t="shared" si="3"/>
        <v>6</v>
      </c>
      <c r="BR33" s="4">
        <f t="shared" si="6"/>
        <v>3</v>
      </c>
      <c r="BS33" s="4"/>
      <c r="BT33" s="45">
        <f t="shared" si="4"/>
        <v>9</v>
      </c>
      <c r="BU33" s="7"/>
      <c r="BW33" s="78"/>
      <c r="BX33" s="78"/>
    </row>
    <row r="34" spans="1:76" ht="15" hidden="1" thickBot="1" x14ac:dyDescent="0.35">
      <c r="A34" s="78"/>
      <c r="C34" s="6">
        <v>21</v>
      </c>
      <c r="D34" s="5" t="str">
        <f>IF(VLOOKUP(C34,DSNV!$C$8:$N$48,3,FALSE)=0,"",VLOOKUP(C34,DSNV!$C$8:$N$48,3,FALSE))</f>
        <v/>
      </c>
      <c r="E34" s="4" t="str">
        <f>IF(VLOOKUP(C34,DSNV!$C$8:$N$48,8,FALSE)="","",VLOOKUP(C34,DSNV!$C$8:$N$48,8,FALSE))</f>
        <v/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4">
        <f t="shared" si="2"/>
        <v>0</v>
      </c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4">
        <f t="shared" si="3"/>
        <v>0</v>
      </c>
      <c r="BR34" s="4"/>
      <c r="BS34" s="4"/>
      <c r="BT34" s="45">
        <f t="shared" si="4"/>
        <v>0</v>
      </c>
      <c r="BU34" s="7"/>
      <c r="BW34" s="78"/>
      <c r="BX34" s="78"/>
    </row>
    <row r="35" spans="1:76" ht="15" hidden="1" thickBot="1" x14ac:dyDescent="0.35">
      <c r="A35" s="78"/>
      <c r="C35" s="6">
        <v>22</v>
      </c>
      <c r="D35" s="5" t="str">
        <f>IF(VLOOKUP(C35,DSNV!$C$8:$N$48,3,FALSE)=0,"",VLOOKUP(C35,DSNV!$C$8:$N$48,3,FALSE))</f>
        <v/>
      </c>
      <c r="E35" s="4" t="str">
        <f>IF(VLOOKUP(C35,DSNV!$C$8:$N$48,8,FALSE)="","",VLOOKUP(C35,DSNV!$C$8:$N$48,8,FALSE))</f>
        <v/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4">
        <f t="shared" si="2"/>
        <v>0</v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4">
        <f t="shared" si="3"/>
        <v>0</v>
      </c>
      <c r="BR35" s="4"/>
      <c r="BS35" s="4"/>
      <c r="BT35" s="45">
        <f t="shared" si="4"/>
        <v>0</v>
      </c>
      <c r="BU35" s="7"/>
      <c r="BW35" s="78"/>
      <c r="BX35" s="78"/>
    </row>
    <row r="36" spans="1:76" ht="15" hidden="1" thickBot="1" x14ac:dyDescent="0.35">
      <c r="A36" s="78"/>
      <c r="C36" s="6">
        <v>23</v>
      </c>
      <c r="D36" s="5" t="str">
        <f>IF(VLOOKUP(C36,DSNV!$C$8:$N$48,3,FALSE)=0,"",VLOOKUP(C36,DSNV!$C$8:$N$48,3,FALSE))</f>
        <v/>
      </c>
      <c r="E36" s="4" t="str">
        <f>IF(VLOOKUP(C36,DSNV!$C$8:$N$48,8,FALSE)="","",VLOOKUP(C36,DSNV!$C$8:$N$48,8,FALSE))</f>
        <v/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4">
        <f t="shared" si="2"/>
        <v>0</v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4">
        <f t="shared" si="3"/>
        <v>0</v>
      </c>
      <c r="BR36" s="4"/>
      <c r="BS36" s="4"/>
      <c r="BT36" s="45">
        <f t="shared" si="4"/>
        <v>0</v>
      </c>
      <c r="BU36" s="7"/>
      <c r="BW36" s="78"/>
      <c r="BX36" s="78"/>
    </row>
    <row r="37" spans="1:76" ht="15" hidden="1" thickBot="1" x14ac:dyDescent="0.35">
      <c r="A37" s="78"/>
      <c r="C37" s="6">
        <v>24</v>
      </c>
      <c r="D37" s="5" t="str">
        <f>IF(VLOOKUP(C37,DSNV!$C$8:$N$48,3,FALSE)=0,"",VLOOKUP(C37,DSNV!$C$8:$N$48,3,FALSE))</f>
        <v/>
      </c>
      <c r="E37" s="4" t="str">
        <f>IF(VLOOKUP(C37,DSNV!$C$8:$N$48,8,FALSE)="","",VLOOKUP(C37,DSNV!$C$8:$N$48,8,FALSE))</f>
        <v/>
      </c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4">
        <f t="shared" si="2"/>
        <v>0</v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4">
        <f t="shared" si="3"/>
        <v>0</v>
      </c>
      <c r="BR37" s="4"/>
      <c r="BS37" s="4"/>
      <c r="BT37" s="45">
        <f t="shared" si="4"/>
        <v>0</v>
      </c>
      <c r="BU37" s="7"/>
      <c r="BW37" s="78"/>
      <c r="BX37" s="78"/>
    </row>
    <row r="38" spans="1:76" ht="15" hidden="1" thickBot="1" x14ac:dyDescent="0.35">
      <c r="A38" s="78"/>
      <c r="C38" s="6">
        <v>25</v>
      </c>
      <c r="D38" s="5" t="str">
        <f>IF(VLOOKUP(C38,DSNV!$C$8:$N$48,3,FALSE)=0,"",VLOOKUP(C38,DSNV!$C$8:$N$48,3,FALSE))</f>
        <v/>
      </c>
      <c r="E38" s="4" t="str">
        <f>IF(VLOOKUP(C38,DSNV!$C$8:$N$48,8,FALSE)="","",VLOOKUP(C38,DSNV!$C$8:$N$48,8,FALSE))</f>
        <v/>
      </c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4">
        <f t="shared" si="2"/>
        <v>0</v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4">
        <f t="shared" si="3"/>
        <v>0</v>
      </c>
      <c r="BR38" s="4"/>
      <c r="BS38" s="4"/>
      <c r="BT38" s="45">
        <f t="shared" si="4"/>
        <v>0</v>
      </c>
      <c r="BU38" s="7"/>
      <c r="BW38" s="78"/>
      <c r="BX38" s="78"/>
    </row>
    <row r="39" spans="1:76" ht="15" hidden="1" thickBot="1" x14ac:dyDescent="0.35">
      <c r="A39" s="78"/>
      <c r="C39" s="6">
        <v>26</v>
      </c>
      <c r="D39" s="5" t="str">
        <f>IF(VLOOKUP(C39,DSNV!$C$8:$N$48,3,FALSE)=0,"",VLOOKUP(C39,DSNV!$C$8:$N$48,3,FALSE))</f>
        <v/>
      </c>
      <c r="E39" s="4" t="str">
        <f>IF(VLOOKUP(C39,DSNV!$C$8:$N$48,8,FALSE)="","",VLOOKUP(C39,DSNV!$C$8:$N$48,8,FALSE))</f>
        <v/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4">
        <f t="shared" si="2"/>
        <v>0</v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4">
        <f t="shared" si="3"/>
        <v>0</v>
      </c>
      <c r="BR39" s="4"/>
      <c r="BS39" s="4"/>
      <c r="BT39" s="45">
        <f t="shared" si="4"/>
        <v>0</v>
      </c>
      <c r="BU39" s="7"/>
      <c r="BW39" s="78"/>
      <c r="BX39" s="78"/>
    </row>
    <row r="40" spans="1:76" ht="15" hidden="1" thickBot="1" x14ac:dyDescent="0.35">
      <c r="A40" s="78"/>
      <c r="C40" s="6">
        <v>27</v>
      </c>
      <c r="D40" s="5" t="str">
        <f>IF(VLOOKUP(C40,DSNV!$C$8:$N$48,3,FALSE)=0,"",VLOOKUP(C40,DSNV!$C$8:$N$48,3,FALSE))</f>
        <v/>
      </c>
      <c r="E40" s="4" t="str">
        <f>IF(VLOOKUP(C40,DSNV!$C$8:$N$48,8,FALSE)="","",VLOOKUP(C40,DSNV!$C$8:$N$48,8,FALSE))</f>
        <v/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4">
        <f t="shared" si="2"/>
        <v>0</v>
      </c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4">
        <f t="shared" si="3"/>
        <v>0</v>
      </c>
      <c r="BR40" s="4"/>
      <c r="BS40" s="4"/>
      <c r="BT40" s="45">
        <f t="shared" si="4"/>
        <v>0</v>
      </c>
      <c r="BU40" s="7"/>
      <c r="BW40" s="78"/>
      <c r="BX40" s="78"/>
    </row>
    <row r="41" spans="1:76" ht="15" hidden="1" thickBot="1" x14ac:dyDescent="0.35">
      <c r="A41" s="78"/>
      <c r="C41" s="6">
        <v>28</v>
      </c>
      <c r="D41" s="5" t="str">
        <f>IF(VLOOKUP(C41,DSNV!$C$8:$N$48,3,FALSE)=0,"",VLOOKUP(C41,DSNV!$C$8:$N$48,3,FALSE))</f>
        <v/>
      </c>
      <c r="E41" s="4" t="str">
        <f>IF(VLOOKUP(C41,DSNV!$C$8:$N$48,8,FALSE)="","",VLOOKUP(C41,DSNV!$C$8:$N$48,8,FALSE))</f>
        <v/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4">
        <f t="shared" si="2"/>
        <v>0</v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4">
        <f t="shared" si="3"/>
        <v>0</v>
      </c>
      <c r="BR41" s="4"/>
      <c r="BS41" s="4"/>
      <c r="BT41" s="45">
        <f t="shared" si="4"/>
        <v>0</v>
      </c>
      <c r="BU41" s="7"/>
      <c r="BW41" s="78"/>
      <c r="BX41" s="78"/>
    </row>
    <row r="42" spans="1:76" ht="15" hidden="1" thickBot="1" x14ac:dyDescent="0.35">
      <c r="A42" s="78"/>
      <c r="C42" s="6">
        <v>29</v>
      </c>
      <c r="D42" s="5" t="str">
        <f>IF(VLOOKUP(C42,DSNV!$C$8:$N$48,3,FALSE)=0,"",VLOOKUP(C42,DSNV!$C$8:$N$48,3,FALSE))</f>
        <v/>
      </c>
      <c r="E42" s="4" t="str">
        <f>IF(VLOOKUP(C42,DSNV!$C$8:$N$48,8,FALSE)="","",VLOOKUP(C42,DSNV!$C$8:$N$48,8,FALSE))</f>
        <v/>
      </c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4">
        <f t="shared" si="2"/>
        <v>0</v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4">
        <f t="shared" si="3"/>
        <v>0</v>
      </c>
      <c r="BR42" s="4"/>
      <c r="BS42" s="4"/>
      <c r="BT42" s="45">
        <f t="shared" si="4"/>
        <v>0</v>
      </c>
      <c r="BU42" s="7"/>
      <c r="BW42" s="78"/>
      <c r="BX42" s="78"/>
    </row>
    <row r="43" spans="1:76" ht="15" hidden="1" thickBot="1" x14ac:dyDescent="0.35">
      <c r="A43" s="78"/>
      <c r="C43" s="6">
        <v>30</v>
      </c>
      <c r="D43" s="5" t="str">
        <f>IF(VLOOKUP(C43,DSNV!$C$8:$N$48,3,FALSE)=0,"",VLOOKUP(C43,DSNV!$C$8:$N$48,3,FALSE))</f>
        <v/>
      </c>
      <c r="E43" s="4" t="str">
        <f>IF(VLOOKUP(C43,DSNV!$C$8:$N$48,8,FALSE)="","",VLOOKUP(C43,DSNV!$C$8:$N$48,8,FALSE))</f>
        <v/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4">
        <f t="shared" si="2"/>
        <v>0</v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4">
        <f t="shared" si="3"/>
        <v>0</v>
      </c>
      <c r="BR43" s="4"/>
      <c r="BS43" s="4"/>
      <c r="BT43" s="45">
        <f t="shared" si="4"/>
        <v>0</v>
      </c>
      <c r="BU43" s="7"/>
      <c r="BW43" s="78"/>
      <c r="BX43" s="78"/>
    </row>
    <row r="44" spans="1:76" ht="15" hidden="1" thickBot="1" x14ac:dyDescent="0.35">
      <c r="A44" s="78"/>
      <c r="C44" s="6">
        <v>31</v>
      </c>
      <c r="D44" s="5" t="str">
        <f>IF(VLOOKUP(C44,DSNV!$C$8:$N$48,3,FALSE)=0,"",VLOOKUP(C44,DSNV!$C$8:$N$48,3,FALSE))</f>
        <v/>
      </c>
      <c r="E44" s="4" t="str">
        <f>IF(VLOOKUP(C44,DSNV!$C$8:$N$48,8,FALSE)="","",VLOOKUP(C44,DSNV!$C$8:$N$48,8,FALSE))</f>
        <v/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4">
        <f t="shared" si="2"/>
        <v>0</v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4">
        <f t="shared" si="3"/>
        <v>0</v>
      </c>
      <c r="BR44" s="4"/>
      <c r="BS44" s="4"/>
      <c r="BT44" s="45">
        <f t="shared" si="4"/>
        <v>0</v>
      </c>
      <c r="BU44" s="7"/>
      <c r="BW44" s="78"/>
      <c r="BX44" s="78"/>
    </row>
    <row r="45" spans="1:76" ht="15" hidden="1" thickBot="1" x14ac:dyDescent="0.35">
      <c r="A45" s="78"/>
      <c r="C45" s="6">
        <v>32</v>
      </c>
      <c r="D45" s="5" t="str">
        <f>IF(VLOOKUP(C45,DSNV!$C$8:$N$48,3,FALSE)=0,"",VLOOKUP(C45,DSNV!$C$8:$N$48,3,FALSE))</f>
        <v/>
      </c>
      <c r="E45" s="4" t="str">
        <f>IF(VLOOKUP(C45,DSNV!$C$8:$N$48,8,FALSE)="","",VLOOKUP(C45,DSNV!$C$8:$N$48,8,FALSE))</f>
        <v/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4">
        <f t="shared" si="2"/>
        <v>0</v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4">
        <f t="shared" si="3"/>
        <v>0</v>
      </c>
      <c r="BR45" s="4"/>
      <c r="BS45" s="4"/>
      <c r="BT45" s="45">
        <f t="shared" si="4"/>
        <v>0</v>
      </c>
      <c r="BU45" s="7"/>
      <c r="BW45" s="78"/>
      <c r="BX45" s="78"/>
    </row>
    <row r="46" spans="1:76" ht="15" hidden="1" thickBot="1" x14ac:dyDescent="0.35">
      <c r="A46" s="78"/>
      <c r="C46" s="6">
        <v>33</v>
      </c>
      <c r="D46" s="5" t="str">
        <f>IF(VLOOKUP(C46,DSNV!$C$8:$N$48,3,FALSE)=0,"",VLOOKUP(C46,DSNV!$C$8:$N$48,3,FALSE))</f>
        <v/>
      </c>
      <c r="E46" s="4" t="str">
        <f>IF(VLOOKUP(C46,DSNV!$C$8:$N$48,8,FALSE)="","",VLOOKUP(C46,DSNV!$C$8:$N$48,8,FALSE))</f>
        <v/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4">
        <f t="shared" si="2"/>
        <v>0</v>
      </c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4">
        <f t="shared" si="3"/>
        <v>0</v>
      </c>
      <c r="BR46" s="4"/>
      <c r="BS46" s="4"/>
      <c r="BT46" s="45">
        <f t="shared" si="4"/>
        <v>0</v>
      </c>
      <c r="BU46" s="7"/>
      <c r="BW46" s="78"/>
      <c r="BX46" s="78"/>
    </row>
    <row r="47" spans="1:76" ht="15" hidden="1" thickBot="1" x14ac:dyDescent="0.35">
      <c r="A47" s="78"/>
      <c r="C47" s="6">
        <v>34</v>
      </c>
      <c r="D47" s="5" t="str">
        <f>IF(VLOOKUP(C47,DSNV!$C$8:$N$48,3,FALSE)=0,"",VLOOKUP(C47,DSNV!$C$8:$N$48,3,FALSE))</f>
        <v/>
      </c>
      <c r="E47" s="4" t="str">
        <f>IF(VLOOKUP(C47,DSNV!$C$8:$N$48,8,FALSE)="","",VLOOKUP(C47,DSNV!$C$8:$N$48,8,FALSE))</f>
        <v/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4">
        <f t="shared" si="2"/>
        <v>0</v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4">
        <f t="shared" si="3"/>
        <v>0</v>
      </c>
      <c r="BR47" s="4"/>
      <c r="BS47" s="4"/>
      <c r="BT47" s="45">
        <f t="shared" si="4"/>
        <v>0</v>
      </c>
      <c r="BU47" s="7"/>
      <c r="BW47" s="78"/>
      <c r="BX47" s="78"/>
    </row>
    <row r="48" spans="1:76" ht="15" hidden="1" thickBot="1" x14ac:dyDescent="0.35">
      <c r="A48" s="78"/>
      <c r="C48" s="6">
        <v>35</v>
      </c>
      <c r="D48" s="5" t="str">
        <f>IF(VLOOKUP(C48,DSNV!$C$8:$N$48,3,FALSE)=0,"",VLOOKUP(C48,DSNV!$C$8:$N$48,3,FALSE))</f>
        <v/>
      </c>
      <c r="E48" s="4" t="str">
        <f>IF(VLOOKUP(C48,DSNV!$C$8:$N$48,8,FALSE)="","",VLOOKUP(C48,DSNV!$C$8:$N$48,8,FALSE))</f>
        <v/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4">
        <f t="shared" si="2"/>
        <v>0</v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4">
        <f t="shared" si="3"/>
        <v>0</v>
      </c>
      <c r="BR48" s="4"/>
      <c r="BS48" s="4"/>
      <c r="BT48" s="45">
        <f t="shared" si="4"/>
        <v>0</v>
      </c>
      <c r="BU48" s="7"/>
      <c r="BW48" s="78"/>
      <c r="BX48" s="78"/>
    </row>
    <row r="49" spans="1:76" ht="15" hidden="1" thickBot="1" x14ac:dyDescent="0.35">
      <c r="A49" s="78"/>
      <c r="C49" s="6">
        <v>36</v>
      </c>
      <c r="D49" s="5" t="str">
        <f>IF(VLOOKUP(C49,DSNV!$C$8:$N$48,3,FALSE)=0,"",VLOOKUP(C49,DSNV!$C$8:$N$48,3,FALSE))</f>
        <v/>
      </c>
      <c r="E49" s="4" t="str">
        <f>IF(VLOOKUP(C49,DSNV!$C$8:$N$48,8,FALSE)="","",VLOOKUP(C49,DSNV!$C$8:$N$48,8,FALSE))</f>
        <v/>
      </c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4">
        <f t="shared" si="2"/>
        <v>0</v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4">
        <f t="shared" si="3"/>
        <v>0</v>
      </c>
      <c r="BR49" s="4"/>
      <c r="BS49" s="4"/>
      <c r="BT49" s="45">
        <f t="shared" si="4"/>
        <v>0</v>
      </c>
      <c r="BU49" s="7"/>
      <c r="BW49" s="78"/>
      <c r="BX49" s="78"/>
    </row>
    <row r="50" spans="1:76" ht="15" hidden="1" thickBot="1" x14ac:dyDescent="0.35">
      <c r="A50" s="78"/>
      <c r="C50" s="6">
        <v>37</v>
      </c>
      <c r="D50" s="5" t="str">
        <f>IF(VLOOKUP(C50,DSNV!$C$8:$N$48,3,FALSE)=0,"",VLOOKUP(C50,DSNV!$C$8:$N$48,3,FALSE))</f>
        <v/>
      </c>
      <c r="E50" s="4" t="str">
        <f>IF(VLOOKUP(C50,DSNV!$C$8:$N$48,8,FALSE)="","",VLOOKUP(C50,DSNV!$C$8:$N$48,8,FALSE))</f>
        <v/>
      </c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4">
        <f t="shared" si="2"/>
        <v>0</v>
      </c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4">
        <f t="shared" si="3"/>
        <v>0</v>
      </c>
      <c r="BR50" s="4"/>
      <c r="BS50" s="4"/>
      <c r="BT50" s="45">
        <f t="shared" si="4"/>
        <v>0</v>
      </c>
      <c r="BU50" s="7"/>
      <c r="BW50" s="78"/>
      <c r="BX50" s="78"/>
    </row>
    <row r="51" spans="1:76" ht="15" hidden="1" thickBot="1" x14ac:dyDescent="0.35">
      <c r="A51" s="78"/>
      <c r="C51" s="6">
        <v>38</v>
      </c>
      <c r="D51" s="5" t="str">
        <f>IF(VLOOKUP(C51,DSNV!$C$8:$N$48,3,FALSE)=0,"",VLOOKUP(C51,DSNV!$C$8:$N$48,3,FALSE))</f>
        <v/>
      </c>
      <c r="E51" s="4" t="str">
        <f>IF(VLOOKUP(C51,DSNV!$C$8:$N$48,8,FALSE)="","",VLOOKUP(C51,DSNV!$C$8:$N$48,8,FALSE))</f>
        <v/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4">
        <f t="shared" si="2"/>
        <v>0</v>
      </c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4">
        <f t="shared" si="3"/>
        <v>0</v>
      </c>
      <c r="BR51" s="4"/>
      <c r="BS51" s="4"/>
      <c r="BT51" s="45">
        <f t="shared" si="4"/>
        <v>0</v>
      </c>
      <c r="BU51" s="7"/>
      <c r="BW51" s="78"/>
      <c r="BX51" s="78"/>
    </row>
    <row r="52" spans="1:76" ht="15" hidden="1" thickBot="1" x14ac:dyDescent="0.35">
      <c r="A52" s="78"/>
      <c r="C52" s="6">
        <v>39</v>
      </c>
      <c r="D52" s="5" t="str">
        <f>IF(VLOOKUP(C52,DSNV!$C$8:$N$48,3,FALSE)=0,"",VLOOKUP(C52,DSNV!$C$8:$N$48,3,FALSE))</f>
        <v/>
      </c>
      <c r="E52" s="4" t="str">
        <f>IF(VLOOKUP(C52,DSNV!$C$8:$N$48,8,FALSE)="","",VLOOKUP(C52,DSNV!$C$8:$N$48,8,FALSE))</f>
        <v/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4">
        <f t="shared" si="2"/>
        <v>0</v>
      </c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4">
        <f t="shared" si="3"/>
        <v>0</v>
      </c>
      <c r="BR52" s="4"/>
      <c r="BS52" s="4"/>
      <c r="BT52" s="45">
        <f t="shared" si="4"/>
        <v>0</v>
      </c>
      <c r="BU52" s="7"/>
      <c r="BW52" s="78"/>
      <c r="BX52" s="78"/>
    </row>
    <row r="53" spans="1:76" ht="15" hidden="1" thickBot="1" x14ac:dyDescent="0.35">
      <c r="A53" s="78"/>
      <c r="C53" s="14">
        <v>40</v>
      </c>
      <c r="D53" s="5" t="str">
        <f>IF(VLOOKUP(C53,DSNV!$C$8:$N$48,3,FALSE)=0,"",VLOOKUP(C53,DSNV!$C$8:$N$48,3,FALSE))</f>
        <v/>
      </c>
      <c r="E53" s="4" t="str">
        <f>IF(VLOOKUP(C53,DSNV!$C$8:$N$48,8,FALSE)="","",VLOOKUP(C53,DSNV!$C$8:$N$48,8,FALSE))</f>
        <v/>
      </c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4">
        <f t="shared" si="2"/>
        <v>0</v>
      </c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4">
        <f t="shared" si="3"/>
        <v>0</v>
      </c>
      <c r="BR53" s="4"/>
      <c r="BS53" s="4"/>
      <c r="BT53" s="45">
        <f t="shared" si="4"/>
        <v>0</v>
      </c>
      <c r="BU53" s="15"/>
      <c r="BW53" s="78"/>
      <c r="BX53" s="78"/>
    </row>
    <row r="54" spans="1:76" ht="15" thickBot="1" x14ac:dyDescent="0.35">
      <c r="A54" s="78"/>
      <c r="C54" s="121" t="s">
        <v>53</v>
      </c>
      <c r="D54" s="121"/>
      <c r="E54" s="121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37">
        <f>SUM(AK14:AK53)</f>
        <v>78</v>
      </c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37">
        <f>SUM(BQ14:BQ53)</f>
        <v>162</v>
      </c>
      <c r="BR54" s="37">
        <f t="shared" ref="BR54:BS54" si="7">SUM(BR14:BR53)</f>
        <v>32</v>
      </c>
      <c r="BS54" s="37">
        <f t="shared" si="7"/>
        <v>5</v>
      </c>
      <c r="BT54" s="37">
        <f>SUM(BT14:BT53)</f>
        <v>277</v>
      </c>
      <c r="BU54" s="17"/>
      <c r="BW54" s="78"/>
      <c r="BX54" s="78"/>
    </row>
    <row r="55" spans="1:76" x14ac:dyDescent="0.3">
      <c r="A55" s="78"/>
      <c r="BW55" s="78"/>
      <c r="BX55" s="78"/>
    </row>
    <row r="56" spans="1:76" x14ac:dyDescent="0.3">
      <c r="A56" s="78"/>
      <c r="BW56" s="78"/>
      <c r="BX56" s="78"/>
    </row>
    <row r="57" spans="1:76" s="78" customFormat="1" x14ac:dyDescent="0.3">
      <c r="C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  <c r="AW57" s="77"/>
      <c r="AX57" s="77"/>
      <c r="AY57" s="77"/>
      <c r="AZ57" s="77"/>
      <c r="BA57" s="77"/>
      <c r="BB57" s="77"/>
      <c r="BC57" s="77"/>
      <c r="BD57" s="77"/>
      <c r="BE57" s="77"/>
      <c r="BF57" s="77"/>
      <c r="BG57" s="77"/>
      <c r="BH57" s="77"/>
      <c r="BI57" s="77"/>
      <c r="BJ57" s="77"/>
      <c r="BK57" s="77"/>
      <c r="BL57" s="77"/>
      <c r="BM57" s="77"/>
      <c r="BN57" s="77"/>
      <c r="BO57" s="77"/>
      <c r="BP57" s="77"/>
      <c r="BQ57" s="77"/>
      <c r="BR57" s="77"/>
      <c r="BS57" s="77"/>
      <c r="BT57" s="77"/>
    </row>
    <row r="58" spans="1:76" s="78" customFormat="1" x14ac:dyDescent="0.3">
      <c r="C58" s="77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7"/>
      <c r="AL58" s="77"/>
      <c r="AM58" s="77"/>
      <c r="AN58" s="77"/>
      <c r="AO58" s="77"/>
      <c r="AP58" s="77"/>
      <c r="AQ58" s="77"/>
      <c r="AR58" s="77"/>
      <c r="AS58" s="77"/>
      <c r="AT58" s="77"/>
      <c r="AU58" s="77"/>
      <c r="AV58" s="77"/>
      <c r="AW58" s="77"/>
      <c r="AX58" s="77"/>
      <c r="AY58" s="77"/>
      <c r="AZ58" s="77"/>
      <c r="BA58" s="77"/>
      <c r="BB58" s="77"/>
      <c r="BC58" s="77"/>
      <c r="BD58" s="77"/>
      <c r="BE58" s="77"/>
      <c r="BF58" s="77"/>
      <c r="BG58" s="77"/>
      <c r="BH58" s="77"/>
      <c r="BI58" s="77"/>
      <c r="BJ58" s="77"/>
      <c r="BK58" s="77"/>
      <c r="BL58" s="77"/>
      <c r="BM58" s="77"/>
      <c r="BN58" s="77"/>
      <c r="BO58" s="77"/>
      <c r="BP58" s="77"/>
      <c r="BQ58" s="77"/>
      <c r="BR58" s="77"/>
      <c r="BS58" s="77"/>
      <c r="BT58" s="77"/>
    </row>
    <row r="59" spans="1:76" s="78" customFormat="1" x14ac:dyDescent="0.3">
      <c r="C59" s="77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  <c r="AI59" s="77"/>
      <c r="AJ59" s="77"/>
      <c r="AK59" s="77"/>
      <c r="AL59" s="77"/>
      <c r="AM59" s="77"/>
      <c r="AN59" s="77"/>
      <c r="AO59" s="77"/>
      <c r="AP59" s="77"/>
      <c r="AQ59" s="77"/>
      <c r="AR59" s="77"/>
      <c r="AS59" s="77"/>
      <c r="AT59" s="77"/>
      <c r="AU59" s="77"/>
      <c r="AV59" s="77"/>
      <c r="AW59" s="77"/>
      <c r="AX59" s="77"/>
      <c r="AY59" s="77"/>
      <c r="AZ59" s="77"/>
      <c r="BA59" s="77"/>
      <c r="BB59" s="77"/>
      <c r="BC59" s="77"/>
      <c r="BD59" s="77"/>
      <c r="BE59" s="77"/>
      <c r="BF59" s="77"/>
      <c r="BG59" s="77"/>
      <c r="BH59" s="77"/>
      <c r="BI59" s="77"/>
      <c r="BJ59" s="77"/>
      <c r="BK59" s="77"/>
      <c r="BL59" s="77"/>
      <c r="BM59" s="77"/>
      <c r="BN59" s="77"/>
      <c r="BO59" s="77"/>
      <c r="BP59" s="77"/>
      <c r="BQ59" s="77"/>
      <c r="BR59" s="77"/>
      <c r="BS59" s="77"/>
      <c r="BT59" s="77"/>
    </row>
    <row r="60" spans="1:76" hidden="1" x14ac:dyDescent="0.3">
      <c r="A60" s="78"/>
    </row>
  </sheetData>
  <autoFilter ref="C11:BU54" xr:uid="{5B728C7B-9475-4B02-8B4D-6C91ABA364A6}"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</autoFilter>
  <mergeCells count="12">
    <mergeCell ref="BQ11:BQ13"/>
    <mergeCell ref="BT11:BT13"/>
    <mergeCell ref="BU11:BU13"/>
    <mergeCell ref="C54:E54"/>
    <mergeCell ref="BR11:BR13"/>
    <mergeCell ref="BS11:BS13"/>
    <mergeCell ref="C11:C13"/>
    <mergeCell ref="D11:D13"/>
    <mergeCell ref="E11:E13"/>
    <mergeCell ref="F11:AJ11"/>
    <mergeCell ref="AK11:AK13"/>
    <mergeCell ref="AL11:BP11"/>
  </mergeCells>
  <conditionalFormatting sqref="F12:AJ54 AL12:BP54">
    <cfRule type="expression" dxfId="20" priority="3">
      <formula>OR(WEEKDAY($D$1+F$12)=1,WEEKDAY($D$1+F$12)=7)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176C4-648C-4761-8DFE-E44AF18ED70E}">
  <sheetPr codeName="Sheet9"/>
  <dimension ref="A1:BX59"/>
  <sheetViews>
    <sheetView showGridLines="0" showRowColHeaders="0" workbookViewId="0">
      <pane xSplit="5" ySplit="13" topLeftCell="F14" activePane="bottomRight" state="frozen"/>
      <selection pane="topRight" activeCell="F1" sqref="F1"/>
      <selection pane="bottomLeft" activeCell="A14" sqref="A14"/>
      <selection pane="bottomRight"/>
    </sheetView>
  </sheetViews>
  <sheetFormatPr defaultColWidth="0" defaultRowHeight="14.4" zeroHeight="1" x14ac:dyDescent="0.3"/>
  <cols>
    <col min="1" max="1" width="8.88671875" style="2" customWidth="1"/>
    <col min="2" max="2" width="3.33203125" style="2" customWidth="1"/>
    <col min="3" max="3" width="5.21875" style="3" customWidth="1"/>
    <col min="4" max="4" width="23" style="2" bestFit="1" customWidth="1"/>
    <col min="5" max="5" width="12" style="3" customWidth="1"/>
    <col min="6" max="36" width="3.44140625" style="3" bestFit="1" customWidth="1"/>
    <col min="37" max="37" width="6.77734375" style="3" customWidth="1"/>
    <col min="38" max="68" width="3.44140625" style="3" bestFit="1" customWidth="1"/>
    <col min="69" max="72" width="6.77734375" style="3" customWidth="1"/>
    <col min="73" max="73" width="9.88671875" style="2" customWidth="1"/>
    <col min="74" max="74" width="3.33203125" style="2" customWidth="1"/>
    <col min="75" max="75" width="8.88671875" style="2" customWidth="1"/>
    <col min="76" max="76" width="8.88671875" style="2" hidden="1" customWidth="1"/>
    <col min="77" max="16384" width="8.88671875" style="2" hidden="1"/>
  </cols>
  <sheetData>
    <row r="1" spans="1:76" s="104" customFormat="1" x14ac:dyDescent="0.3">
      <c r="C1" s="105"/>
      <c r="D1" s="106">
        <f>D2-1</f>
        <v>44316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</row>
    <row r="2" spans="1:76" s="104" customFormat="1" x14ac:dyDescent="0.3">
      <c r="C2" s="105"/>
      <c r="D2" s="107" t="str">
        <f>"01/05/"&amp;E9</f>
        <v>01/05/2021</v>
      </c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105"/>
      <c r="BP2" s="105"/>
      <c r="BQ2" s="105"/>
      <c r="BR2" s="105"/>
      <c r="BS2" s="105"/>
      <c r="BT2" s="105"/>
    </row>
    <row r="3" spans="1:76" s="110" customFormat="1" x14ac:dyDescent="0.3">
      <c r="C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1"/>
      <c r="AU3" s="111"/>
      <c r="AV3" s="111"/>
      <c r="AW3" s="111"/>
      <c r="AX3" s="111"/>
      <c r="AY3" s="111"/>
      <c r="AZ3" s="111"/>
      <c r="BA3" s="111"/>
      <c r="BB3" s="111"/>
      <c r="BC3" s="111"/>
      <c r="BD3" s="111"/>
      <c r="BE3" s="111"/>
      <c r="BF3" s="111"/>
      <c r="BG3" s="111"/>
      <c r="BH3" s="111"/>
      <c r="BI3" s="111"/>
      <c r="BJ3" s="111"/>
      <c r="BK3" s="111"/>
      <c r="BL3" s="111"/>
      <c r="BM3" s="111"/>
      <c r="BN3" s="111"/>
      <c r="BO3" s="111"/>
      <c r="BP3" s="111"/>
      <c r="BQ3" s="111"/>
      <c r="BR3" s="111"/>
      <c r="BS3" s="111"/>
      <c r="BT3" s="111"/>
    </row>
    <row r="4" spans="1:76" x14ac:dyDescent="0.3">
      <c r="A4" s="78"/>
      <c r="B4" s="78"/>
      <c r="C4" s="77"/>
      <c r="D4" s="79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  <c r="BC4" s="77"/>
      <c r="BD4" s="77"/>
      <c r="BE4" s="77"/>
      <c r="BF4" s="77"/>
      <c r="BG4" s="77"/>
      <c r="BH4" s="77"/>
      <c r="BI4" s="77"/>
      <c r="BJ4" s="77"/>
      <c r="BK4" s="77"/>
      <c r="BL4" s="77"/>
      <c r="BM4" s="77"/>
      <c r="BN4" s="77"/>
      <c r="BO4" s="77"/>
      <c r="BP4" s="77"/>
      <c r="BQ4" s="77"/>
      <c r="BR4" s="77"/>
      <c r="BS4" s="77"/>
      <c r="BT4" s="77"/>
      <c r="BU4" s="78"/>
      <c r="BV4" s="78"/>
      <c r="BW4" s="78"/>
      <c r="BX4" s="78"/>
    </row>
    <row r="5" spans="1:76" x14ac:dyDescent="0.3">
      <c r="A5" s="78"/>
      <c r="BW5" s="78"/>
      <c r="BX5" s="78"/>
    </row>
    <row r="6" spans="1:76" x14ac:dyDescent="0.3">
      <c r="A6" s="78"/>
      <c r="D6" s="41" t="s">
        <v>49</v>
      </c>
      <c r="E6" s="42">
        <f>COUNTIFS(F13:AJ13,"&gt;1",F13:AJ13,"&lt;7")</f>
        <v>21</v>
      </c>
      <c r="BW6" s="78"/>
      <c r="BX6" s="78"/>
    </row>
    <row r="7" spans="1:76" x14ac:dyDescent="0.3">
      <c r="A7" s="78"/>
      <c r="C7" s="1"/>
      <c r="D7" s="1"/>
      <c r="BW7" s="78"/>
      <c r="BX7" s="78"/>
    </row>
    <row r="8" spans="1:76" ht="25.8" x14ac:dyDescent="0.5">
      <c r="A8" s="78"/>
      <c r="D8" s="39" t="s">
        <v>50</v>
      </c>
      <c r="E8" s="39"/>
      <c r="BW8" s="78"/>
      <c r="BX8" s="78"/>
    </row>
    <row r="9" spans="1:76" x14ac:dyDescent="0.3">
      <c r="A9" s="78"/>
      <c r="D9" s="40" t="s">
        <v>91</v>
      </c>
      <c r="E9" s="1">
        <v>2021</v>
      </c>
      <c r="BW9" s="78"/>
      <c r="BX9" s="78"/>
    </row>
    <row r="10" spans="1:76" x14ac:dyDescent="0.3">
      <c r="A10" s="78"/>
      <c r="BW10" s="78"/>
      <c r="BX10" s="78"/>
    </row>
    <row r="11" spans="1:76" ht="13.8" customHeight="1" x14ac:dyDescent="0.3">
      <c r="A11" s="78"/>
      <c r="C11" s="120" t="s">
        <v>1</v>
      </c>
      <c r="D11" s="120" t="s">
        <v>2</v>
      </c>
      <c r="E11" s="120" t="s">
        <v>6</v>
      </c>
      <c r="F11" s="120" t="s">
        <v>51</v>
      </c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/>
      <c r="AK11" s="119" t="s">
        <v>54</v>
      </c>
      <c r="AL11" s="120" t="s">
        <v>52</v>
      </c>
      <c r="AM11" s="120"/>
      <c r="AN11" s="120"/>
      <c r="AO11" s="120"/>
      <c r="AP11" s="120"/>
      <c r="AQ11" s="120"/>
      <c r="AR11" s="120"/>
      <c r="AS11" s="120"/>
      <c r="AT11" s="120"/>
      <c r="AU11" s="120"/>
      <c r="AV11" s="120"/>
      <c r="AW11" s="120"/>
      <c r="AX11" s="120"/>
      <c r="AY11" s="120"/>
      <c r="AZ11" s="120"/>
      <c r="BA11" s="120"/>
      <c r="BB11" s="120"/>
      <c r="BC11" s="120"/>
      <c r="BD11" s="120"/>
      <c r="BE11" s="120"/>
      <c r="BF11" s="120"/>
      <c r="BG11" s="120"/>
      <c r="BH11" s="120"/>
      <c r="BI11" s="120"/>
      <c r="BJ11" s="120"/>
      <c r="BK11" s="120"/>
      <c r="BL11" s="120"/>
      <c r="BM11" s="120"/>
      <c r="BN11" s="120"/>
      <c r="BO11" s="120"/>
      <c r="BP11" s="120"/>
      <c r="BQ11" s="119" t="s">
        <v>112</v>
      </c>
      <c r="BR11" s="122" t="s">
        <v>113</v>
      </c>
      <c r="BS11" s="122" t="s">
        <v>114</v>
      </c>
      <c r="BT11" s="119" t="s">
        <v>53</v>
      </c>
      <c r="BU11" s="120" t="s">
        <v>8</v>
      </c>
      <c r="BW11" s="78"/>
      <c r="BX11" s="78"/>
    </row>
    <row r="12" spans="1:76" x14ac:dyDescent="0.3">
      <c r="A12" s="78"/>
      <c r="C12" s="120"/>
      <c r="D12" s="120"/>
      <c r="E12" s="120"/>
      <c r="F12" s="18">
        <v>1</v>
      </c>
      <c r="G12" s="18">
        <v>2</v>
      </c>
      <c r="H12" s="18">
        <v>3</v>
      </c>
      <c r="I12" s="18">
        <v>4</v>
      </c>
      <c r="J12" s="18">
        <v>5</v>
      </c>
      <c r="K12" s="18">
        <v>6</v>
      </c>
      <c r="L12" s="18">
        <v>7</v>
      </c>
      <c r="M12" s="18">
        <v>8</v>
      </c>
      <c r="N12" s="18">
        <v>9</v>
      </c>
      <c r="O12" s="18">
        <v>10</v>
      </c>
      <c r="P12" s="18">
        <v>11</v>
      </c>
      <c r="Q12" s="18">
        <v>12</v>
      </c>
      <c r="R12" s="18">
        <v>13</v>
      </c>
      <c r="S12" s="18">
        <v>14</v>
      </c>
      <c r="T12" s="18">
        <v>15</v>
      </c>
      <c r="U12" s="18">
        <v>16</v>
      </c>
      <c r="V12" s="18">
        <v>17</v>
      </c>
      <c r="W12" s="18">
        <v>18</v>
      </c>
      <c r="X12" s="18">
        <v>19</v>
      </c>
      <c r="Y12" s="18">
        <v>20</v>
      </c>
      <c r="Z12" s="18">
        <v>21</v>
      </c>
      <c r="AA12" s="18">
        <v>22</v>
      </c>
      <c r="AB12" s="18">
        <v>23</v>
      </c>
      <c r="AC12" s="18">
        <v>24</v>
      </c>
      <c r="AD12" s="18">
        <v>25</v>
      </c>
      <c r="AE12" s="18">
        <v>26</v>
      </c>
      <c r="AF12" s="18">
        <v>27</v>
      </c>
      <c r="AG12" s="18">
        <v>28</v>
      </c>
      <c r="AH12" s="18">
        <v>29</v>
      </c>
      <c r="AI12" s="18">
        <v>30</v>
      </c>
      <c r="AJ12" s="18">
        <v>31</v>
      </c>
      <c r="AK12" s="119"/>
      <c r="AL12" s="18">
        <v>1</v>
      </c>
      <c r="AM12" s="18">
        <v>2</v>
      </c>
      <c r="AN12" s="18">
        <v>3</v>
      </c>
      <c r="AO12" s="18">
        <v>4</v>
      </c>
      <c r="AP12" s="18">
        <v>5</v>
      </c>
      <c r="AQ12" s="18">
        <v>6</v>
      </c>
      <c r="AR12" s="18">
        <v>7</v>
      </c>
      <c r="AS12" s="18">
        <v>8</v>
      </c>
      <c r="AT12" s="18">
        <v>9</v>
      </c>
      <c r="AU12" s="18">
        <v>10</v>
      </c>
      <c r="AV12" s="18">
        <v>11</v>
      </c>
      <c r="AW12" s="18">
        <v>12</v>
      </c>
      <c r="AX12" s="18">
        <v>13</v>
      </c>
      <c r="AY12" s="18">
        <v>14</v>
      </c>
      <c r="AZ12" s="18">
        <v>15</v>
      </c>
      <c r="BA12" s="18">
        <v>16</v>
      </c>
      <c r="BB12" s="18">
        <v>17</v>
      </c>
      <c r="BC12" s="18">
        <v>18</v>
      </c>
      <c r="BD12" s="18">
        <v>19</v>
      </c>
      <c r="BE12" s="18">
        <v>20</v>
      </c>
      <c r="BF12" s="18">
        <v>21</v>
      </c>
      <c r="BG12" s="18">
        <v>22</v>
      </c>
      <c r="BH12" s="18">
        <v>23</v>
      </c>
      <c r="BI12" s="18">
        <v>24</v>
      </c>
      <c r="BJ12" s="18">
        <v>25</v>
      </c>
      <c r="BK12" s="18">
        <v>26</v>
      </c>
      <c r="BL12" s="18">
        <v>27</v>
      </c>
      <c r="BM12" s="18">
        <v>28</v>
      </c>
      <c r="BN12" s="18">
        <v>29</v>
      </c>
      <c r="BO12" s="18">
        <v>30</v>
      </c>
      <c r="BP12" s="18">
        <v>31</v>
      </c>
      <c r="BQ12" s="119"/>
      <c r="BR12" s="123"/>
      <c r="BS12" s="123"/>
      <c r="BT12" s="119"/>
      <c r="BU12" s="120"/>
      <c r="BW12" s="78"/>
      <c r="BX12" s="78"/>
    </row>
    <row r="13" spans="1:76" ht="25.8" x14ac:dyDescent="0.3">
      <c r="A13" s="78"/>
      <c r="C13" s="120"/>
      <c r="D13" s="120"/>
      <c r="E13" s="120"/>
      <c r="F13" s="38">
        <f>WEEKDAY($D$1+F12)</f>
        <v>7</v>
      </c>
      <c r="G13" s="38">
        <f t="shared" ref="G13:AJ13" si="0">WEEKDAY($D$1+G12)</f>
        <v>1</v>
      </c>
      <c r="H13" s="38">
        <f t="shared" si="0"/>
        <v>2</v>
      </c>
      <c r="I13" s="38">
        <f t="shared" si="0"/>
        <v>3</v>
      </c>
      <c r="J13" s="38">
        <f t="shared" si="0"/>
        <v>4</v>
      </c>
      <c r="K13" s="38">
        <f t="shared" si="0"/>
        <v>5</v>
      </c>
      <c r="L13" s="38">
        <f t="shared" si="0"/>
        <v>6</v>
      </c>
      <c r="M13" s="38">
        <f t="shared" si="0"/>
        <v>7</v>
      </c>
      <c r="N13" s="38">
        <f t="shared" si="0"/>
        <v>1</v>
      </c>
      <c r="O13" s="38">
        <f t="shared" si="0"/>
        <v>2</v>
      </c>
      <c r="P13" s="38">
        <f t="shared" si="0"/>
        <v>3</v>
      </c>
      <c r="Q13" s="38">
        <f t="shared" si="0"/>
        <v>4</v>
      </c>
      <c r="R13" s="38">
        <f t="shared" si="0"/>
        <v>5</v>
      </c>
      <c r="S13" s="38">
        <f t="shared" si="0"/>
        <v>6</v>
      </c>
      <c r="T13" s="38">
        <f t="shared" si="0"/>
        <v>7</v>
      </c>
      <c r="U13" s="38">
        <f t="shared" si="0"/>
        <v>1</v>
      </c>
      <c r="V13" s="38">
        <f t="shared" si="0"/>
        <v>2</v>
      </c>
      <c r="W13" s="38">
        <f t="shared" si="0"/>
        <v>3</v>
      </c>
      <c r="X13" s="38">
        <f t="shared" si="0"/>
        <v>4</v>
      </c>
      <c r="Y13" s="38">
        <f t="shared" si="0"/>
        <v>5</v>
      </c>
      <c r="Z13" s="38">
        <f t="shared" si="0"/>
        <v>6</v>
      </c>
      <c r="AA13" s="38">
        <f t="shared" si="0"/>
        <v>7</v>
      </c>
      <c r="AB13" s="38">
        <f t="shared" si="0"/>
        <v>1</v>
      </c>
      <c r="AC13" s="38">
        <f t="shared" si="0"/>
        <v>2</v>
      </c>
      <c r="AD13" s="38">
        <f t="shared" si="0"/>
        <v>3</v>
      </c>
      <c r="AE13" s="38">
        <f t="shared" si="0"/>
        <v>4</v>
      </c>
      <c r="AF13" s="38">
        <f t="shared" si="0"/>
        <v>5</v>
      </c>
      <c r="AG13" s="38">
        <f t="shared" si="0"/>
        <v>6</v>
      </c>
      <c r="AH13" s="38">
        <f t="shared" si="0"/>
        <v>7</v>
      </c>
      <c r="AI13" s="38">
        <f t="shared" si="0"/>
        <v>1</v>
      </c>
      <c r="AJ13" s="38">
        <f t="shared" si="0"/>
        <v>2</v>
      </c>
      <c r="AK13" s="119"/>
      <c r="AL13" s="38">
        <f>WEEKDAY($D$1+AL12)</f>
        <v>7</v>
      </c>
      <c r="AM13" s="38">
        <f t="shared" ref="AM13:BP13" si="1">WEEKDAY($D$1+AM12)</f>
        <v>1</v>
      </c>
      <c r="AN13" s="38">
        <f t="shared" si="1"/>
        <v>2</v>
      </c>
      <c r="AO13" s="38">
        <f t="shared" si="1"/>
        <v>3</v>
      </c>
      <c r="AP13" s="38">
        <f t="shared" si="1"/>
        <v>4</v>
      </c>
      <c r="AQ13" s="38">
        <f t="shared" si="1"/>
        <v>5</v>
      </c>
      <c r="AR13" s="38">
        <f t="shared" si="1"/>
        <v>6</v>
      </c>
      <c r="AS13" s="38">
        <f t="shared" si="1"/>
        <v>7</v>
      </c>
      <c r="AT13" s="38">
        <f t="shared" si="1"/>
        <v>1</v>
      </c>
      <c r="AU13" s="38">
        <f t="shared" si="1"/>
        <v>2</v>
      </c>
      <c r="AV13" s="38">
        <f t="shared" si="1"/>
        <v>3</v>
      </c>
      <c r="AW13" s="38">
        <f t="shared" si="1"/>
        <v>4</v>
      </c>
      <c r="AX13" s="38">
        <f t="shared" si="1"/>
        <v>5</v>
      </c>
      <c r="AY13" s="38">
        <f t="shared" si="1"/>
        <v>6</v>
      </c>
      <c r="AZ13" s="38">
        <f t="shared" si="1"/>
        <v>7</v>
      </c>
      <c r="BA13" s="38">
        <f t="shared" si="1"/>
        <v>1</v>
      </c>
      <c r="BB13" s="38">
        <f t="shared" si="1"/>
        <v>2</v>
      </c>
      <c r="BC13" s="38">
        <f t="shared" si="1"/>
        <v>3</v>
      </c>
      <c r="BD13" s="38">
        <f t="shared" si="1"/>
        <v>4</v>
      </c>
      <c r="BE13" s="38">
        <f t="shared" si="1"/>
        <v>5</v>
      </c>
      <c r="BF13" s="38">
        <f t="shared" si="1"/>
        <v>6</v>
      </c>
      <c r="BG13" s="38">
        <f t="shared" si="1"/>
        <v>7</v>
      </c>
      <c r="BH13" s="38">
        <f t="shared" si="1"/>
        <v>1</v>
      </c>
      <c r="BI13" s="38">
        <f t="shared" si="1"/>
        <v>2</v>
      </c>
      <c r="BJ13" s="38">
        <f t="shared" si="1"/>
        <v>3</v>
      </c>
      <c r="BK13" s="38">
        <f t="shared" si="1"/>
        <v>4</v>
      </c>
      <c r="BL13" s="38">
        <f t="shared" si="1"/>
        <v>5</v>
      </c>
      <c r="BM13" s="38">
        <f t="shared" si="1"/>
        <v>6</v>
      </c>
      <c r="BN13" s="38">
        <f t="shared" si="1"/>
        <v>7</v>
      </c>
      <c r="BO13" s="38">
        <f t="shared" si="1"/>
        <v>1</v>
      </c>
      <c r="BP13" s="38">
        <f t="shared" si="1"/>
        <v>2</v>
      </c>
      <c r="BQ13" s="119"/>
      <c r="BR13" s="124"/>
      <c r="BS13" s="124"/>
      <c r="BT13" s="119"/>
      <c r="BU13" s="120"/>
      <c r="BW13" s="78"/>
      <c r="BX13" s="78"/>
    </row>
    <row r="14" spans="1:76" x14ac:dyDescent="0.3">
      <c r="A14" s="78"/>
      <c r="C14" s="4">
        <v>1</v>
      </c>
      <c r="D14" s="5" t="str">
        <f>IF(VLOOKUP(C14,DSNV!$C$8:$N$48,3,FALSE)=0,"",VLOOKUP(C14,DSNV!$C$8:$N$48,3,FALSE))</f>
        <v>Nguyễn Võ Như Bình</v>
      </c>
      <c r="E14" s="4" t="str">
        <f>IF(VLOOKUP(C14,DSNV!$C$8:$N$48,8,FALSE)="","",VLOOKUP(C14,DSNV!$C$8:$N$48,8,FALSE))</f>
        <v>Thành viên</v>
      </c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>
        <f>SUM(F14:AJ14)</f>
        <v>0</v>
      </c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>
        <f>SUM(AL14:BP14)</f>
        <v>0</v>
      </c>
      <c r="BR14" s="4"/>
      <c r="BS14" s="4"/>
      <c r="BT14" s="45">
        <f>SUM(AK14,BQ14:BS14)</f>
        <v>0</v>
      </c>
      <c r="BU14" s="5"/>
      <c r="BW14" s="78"/>
      <c r="BX14" s="78"/>
    </row>
    <row r="15" spans="1:76" x14ac:dyDescent="0.3">
      <c r="A15" s="78"/>
      <c r="C15" s="6">
        <v>2</v>
      </c>
      <c r="D15" s="5" t="str">
        <f>IF(VLOOKUP(C15,DSNV!$C$8:$N$48,3,FALSE)=0,"",VLOOKUP(C15,DSNV!$C$8:$N$48,3,FALSE))</f>
        <v>Võ Khánh Đoan</v>
      </c>
      <c r="E15" s="4" t="str">
        <f>IF(VLOOKUP(C15,DSNV!$C$8:$N$48,8,FALSE)="","",VLOOKUP(C15,DSNV!$C$8:$N$48,8,FALSE))</f>
        <v>Thành viên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4">
        <f t="shared" ref="AK15:AK53" si="2">SUM(F15:AJ15)</f>
        <v>0</v>
      </c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4">
        <f t="shared" ref="BQ15:BQ53" si="3">SUM(AL15:BP15)</f>
        <v>0</v>
      </c>
      <c r="BR15" s="4"/>
      <c r="BS15" s="4"/>
      <c r="BT15" s="45">
        <f t="shared" ref="BT15:BT53" si="4">SUM(AK15,BQ15:BS15)</f>
        <v>0</v>
      </c>
      <c r="BU15" s="7"/>
      <c r="BW15" s="78"/>
      <c r="BX15" s="78"/>
    </row>
    <row r="16" spans="1:76" x14ac:dyDescent="0.3">
      <c r="A16" s="78"/>
      <c r="C16" s="6">
        <v>3</v>
      </c>
      <c r="D16" s="5" t="str">
        <f>IF(VLOOKUP(C16,DSNV!$C$8:$N$48,3,FALSE)=0,"",VLOOKUP(C16,DSNV!$C$8:$N$48,3,FALSE))</f>
        <v>Nguyễn Thu Hà</v>
      </c>
      <c r="E16" s="4" t="str">
        <f>IF(VLOOKUP(C16,DSNV!$C$8:$N$48,8,FALSE)="","",VLOOKUP(C16,DSNV!$C$8:$N$48,8,FALSE))</f>
        <v>Thành viên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4">
        <f t="shared" si="2"/>
        <v>0</v>
      </c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4">
        <f t="shared" si="3"/>
        <v>0</v>
      </c>
      <c r="BR16" s="4"/>
      <c r="BS16" s="4"/>
      <c r="BT16" s="45">
        <f t="shared" si="4"/>
        <v>0</v>
      </c>
      <c r="BU16" s="7"/>
      <c r="BW16" s="78"/>
      <c r="BX16" s="78"/>
    </row>
    <row r="17" spans="1:76" x14ac:dyDescent="0.3">
      <c r="A17" s="78"/>
      <c r="C17" s="6">
        <v>4</v>
      </c>
      <c r="D17" s="5" t="str">
        <f>IF(VLOOKUP(C17,DSNV!$C$8:$N$48,3,FALSE)=0,"",VLOOKUP(C17,DSNV!$C$8:$N$48,3,FALSE))</f>
        <v>Trương Thị Phú Hiệp</v>
      </c>
      <c r="E17" s="4" t="str">
        <f>IF(VLOOKUP(C17,DSNV!$C$8:$N$48,8,FALSE)="","",VLOOKUP(C17,DSNV!$C$8:$N$48,8,FALSE))</f>
        <v>Thành viên</v>
      </c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4">
        <f t="shared" si="2"/>
        <v>0</v>
      </c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4">
        <f t="shared" si="3"/>
        <v>0</v>
      </c>
      <c r="BR17" s="4"/>
      <c r="BS17" s="4"/>
      <c r="BT17" s="45">
        <f t="shared" si="4"/>
        <v>0</v>
      </c>
      <c r="BU17" s="7"/>
      <c r="BW17" s="78"/>
      <c r="BX17" s="78"/>
    </row>
    <row r="18" spans="1:76" x14ac:dyDescent="0.3">
      <c r="A18" s="78"/>
      <c r="C18" s="6">
        <v>5</v>
      </c>
      <c r="D18" s="5" t="str">
        <f>IF(VLOOKUP(C18,DSNV!$C$8:$N$48,3,FALSE)=0,"",VLOOKUP(C18,DSNV!$C$8:$N$48,3,FALSE))</f>
        <v>Nguyễn Thị Bích Hồng</v>
      </c>
      <c r="E18" s="4" t="str">
        <f>IF(VLOOKUP(C18,DSNV!$C$8:$N$48,8,FALSE)="","",VLOOKUP(C18,DSNV!$C$8:$N$48,8,FALSE))</f>
        <v>Thành viên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4">
        <f t="shared" si="2"/>
        <v>0</v>
      </c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4">
        <f t="shared" si="3"/>
        <v>0</v>
      </c>
      <c r="BR18" s="4"/>
      <c r="BS18" s="4"/>
      <c r="BT18" s="45">
        <f t="shared" si="4"/>
        <v>0</v>
      </c>
      <c r="BU18" s="7"/>
      <c r="BW18" s="78"/>
      <c r="BX18" s="78"/>
    </row>
    <row r="19" spans="1:76" x14ac:dyDescent="0.3">
      <c r="A19" s="78"/>
      <c r="C19" s="6">
        <v>6</v>
      </c>
      <c r="D19" s="5" t="str">
        <f>IF(VLOOKUP(C19,DSNV!$C$8:$N$48,3,FALSE)=0,"",VLOOKUP(C19,DSNV!$C$8:$N$48,3,FALSE))</f>
        <v>Phạm Thị Ngọc Hồng</v>
      </c>
      <c r="E19" s="4" t="str">
        <f>IF(VLOOKUP(C19,DSNV!$C$8:$N$48,8,FALSE)="","",VLOOKUP(C19,DSNV!$C$8:$N$48,8,FALSE))</f>
        <v>Thành viên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4">
        <f t="shared" si="2"/>
        <v>0</v>
      </c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4">
        <f t="shared" si="3"/>
        <v>0</v>
      </c>
      <c r="BR19" s="4">
        <f>BQ19/2</f>
        <v>0</v>
      </c>
      <c r="BS19" s="4"/>
      <c r="BT19" s="45">
        <f t="shared" si="4"/>
        <v>0</v>
      </c>
      <c r="BU19" s="7"/>
      <c r="BW19" s="78"/>
      <c r="BX19" s="78"/>
    </row>
    <row r="20" spans="1:76" x14ac:dyDescent="0.3">
      <c r="A20" s="78"/>
      <c r="C20" s="6">
        <v>7</v>
      </c>
      <c r="D20" s="5" t="str">
        <f>IF(VLOOKUP(C20,DSNV!$C$8:$N$48,3,FALSE)=0,"",VLOOKUP(C20,DSNV!$C$8:$N$48,3,FALSE))</f>
        <v>Phạm Thị Huệ</v>
      </c>
      <c r="E20" s="4" t="str">
        <f>IF(VLOOKUP(C20,DSNV!$C$8:$N$48,8,FALSE)="","",VLOOKUP(C20,DSNV!$C$8:$N$48,8,FALSE))</f>
        <v>Trưởng ban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4">
        <f t="shared" si="2"/>
        <v>0</v>
      </c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4">
        <f t="shared" si="3"/>
        <v>0</v>
      </c>
      <c r="BR20" s="4">
        <f t="shared" ref="BR20:BR21" si="5">BQ20/2</f>
        <v>0</v>
      </c>
      <c r="BS20" s="4"/>
      <c r="BT20" s="45">
        <f t="shared" si="4"/>
        <v>0</v>
      </c>
      <c r="BU20" s="7" t="s">
        <v>166</v>
      </c>
      <c r="BW20" s="78"/>
      <c r="BX20" s="78"/>
    </row>
    <row r="21" spans="1:76" x14ac:dyDescent="0.3">
      <c r="A21" s="78"/>
      <c r="C21" s="6">
        <v>8</v>
      </c>
      <c r="D21" s="5" t="str">
        <f>IF(VLOOKUP(C21,DSNV!$C$8:$N$48,3,FALSE)=0,"",VLOOKUP(C21,DSNV!$C$8:$N$48,3,FALSE))</f>
        <v>Nguyễn Thị Quỳnh Hương</v>
      </c>
      <c r="E21" s="4" t="str">
        <f>IF(VLOOKUP(C21,DSNV!$C$8:$N$48,8,FALSE)="","",VLOOKUP(C21,DSNV!$C$8:$N$48,8,FALSE))</f>
        <v>Trưởng ban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4">
        <f t="shared" si="2"/>
        <v>0</v>
      </c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4">
        <f t="shared" si="3"/>
        <v>0</v>
      </c>
      <c r="BR21" s="4">
        <f t="shared" si="5"/>
        <v>0</v>
      </c>
      <c r="BS21" s="4"/>
      <c r="BT21" s="45">
        <f t="shared" si="4"/>
        <v>0</v>
      </c>
      <c r="BU21" s="7"/>
      <c r="BW21" s="78"/>
      <c r="BX21" s="78"/>
    </row>
    <row r="22" spans="1:76" x14ac:dyDescent="0.3">
      <c r="A22" s="78"/>
      <c r="C22" s="6">
        <v>9</v>
      </c>
      <c r="D22" s="5" t="str">
        <f>IF(VLOOKUP(C22,DSNV!$C$8:$N$48,3,FALSE)=0,"",VLOOKUP(C22,DSNV!$C$8:$N$48,3,FALSE))</f>
        <v>Huỳnh Thanh Huyên</v>
      </c>
      <c r="E22" s="4" t="str">
        <f>IF(VLOOKUP(C22,DSNV!$C$8:$N$48,8,FALSE)="","",VLOOKUP(C22,DSNV!$C$8:$N$48,8,FALSE))</f>
        <v>Thành viên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4">
        <f t="shared" si="2"/>
        <v>0</v>
      </c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4">
        <f t="shared" si="3"/>
        <v>0</v>
      </c>
      <c r="BR22" s="4"/>
      <c r="BS22" s="4"/>
      <c r="BT22" s="45">
        <f t="shared" si="4"/>
        <v>0</v>
      </c>
      <c r="BU22" s="7"/>
      <c r="BW22" s="78"/>
      <c r="BX22" s="78"/>
    </row>
    <row r="23" spans="1:76" x14ac:dyDescent="0.3">
      <c r="A23" s="78"/>
      <c r="C23" s="6">
        <v>10</v>
      </c>
      <c r="D23" s="5" t="str">
        <f>IF(VLOOKUP(C23,DSNV!$C$8:$N$48,3,FALSE)=0,"",VLOOKUP(C23,DSNV!$C$8:$N$48,3,FALSE))</f>
        <v>Lê Hữu Di Mi</v>
      </c>
      <c r="E23" s="4" t="str">
        <f>IF(VLOOKUP(C23,DSNV!$C$8:$N$48,8,FALSE)="","",VLOOKUP(C23,DSNV!$C$8:$N$48,8,FALSE))</f>
        <v>Thành viên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4">
        <f t="shared" si="2"/>
        <v>0</v>
      </c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4">
        <f t="shared" si="3"/>
        <v>0</v>
      </c>
      <c r="BR23" s="4"/>
      <c r="BS23" s="4"/>
      <c r="BT23" s="45">
        <f t="shared" si="4"/>
        <v>0</v>
      </c>
      <c r="BU23" s="7"/>
      <c r="BW23" s="78"/>
      <c r="BX23" s="78"/>
    </row>
    <row r="24" spans="1:76" x14ac:dyDescent="0.3">
      <c r="A24" s="78"/>
      <c r="C24" s="6">
        <v>11</v>
      </c>
      <c r="D24" s="5" t="str">
        <f>IF(VLOOKUP(C24,DSNV!$C$8:$N$48,3,FALSE)=0,"",VLOOKUP(C24,DSNV!$C$8:$N$48,3,FALSE))</f>
        <v>Nguyễn Nhựt Minh</v>
      </c>
      <c r="E24" s="4" t="str">
        <f>IF(VLOOKUP(C24,DSNV!$C$8:$N$48,8,FALSE)="","",VLOOKUP(C24,DSNV!$C$8:$N$48,8,FALSE))</f>
        <v>Trưởng ban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4">
        <f t="shared" si="2"/>
        <v>0</v>
      </c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4">
        <f t="shared" si="3"/>
        <v>0</v>
      </c>
      <c r="BR24" s="4">
        <f>BQ24/2</f>
        <v>0</v>
      </c>
      <c r="BS24" s="4"/>
      <c r="BT24" s="45">
        <f t="shared" si="4"/>
        <v>0</v>
      </c>
      <c r="BU24" s="7"/>
      <c r="BW24" s="78"/>
      <c r="BX24" s="78"/>
    </row>
    <row r="25" spans="1:76" x14ac:dyDescent="0.3">
      <c r="A25" s="78"/>
      <c r="C25" s="6">
        <v>12</v>
      </c>
      <c r="D25" s="5" t="str">
        <f>IF(VLOOKUP(C25,DSNV!$C$8:$N$48,3,FALSE)=0,"",VLOOKUP(C25,DSNV!$C$8:$N$48,3,FALSE))</f>
        <v>Lê Thảo Nguyên</v>
      </c>
      <c r="E25" s="4" t="str">
        <f>IF(VLOOKUP(C25,DSNV!$C$8:$N$48,8,FALSE)="","",VLOOKUP(C25,DSNV!$C$8:$N$48,8,FALSE))</f>
        <v>Thành viên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4">
        <f t="shared" si="2"/>
        <v>0</v>
      </c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4">
        <f t="shared" si="3"/>
        <v>0</v>
      </c>
      <c r="BR25" s="4">
        <f>BQ25/2</f>
        <v>0</v>
      </c>
      <c r="BS25" s="4"/>
      <c r="BT25" s="45">
        <f t="shared" si="4"/>
        <v>0</v>
      </c>
      <c r="BU25" s="7"/>
      <c r="BW25" s="78"/>
      <c r="BX25" s="78"/>
    </row>
    <row r="26" spans="1:76" x14ac:dyDescent="0.3">
      <c r="A26" s="78"/>
      <c r="C26" s="6">
        <v>13</v>
      </c>
      <c r="D26" s="5" t="str">
        <f>IF(VLOOKUP(C26,DSNV!$C$8:$N$48,3,FALSE)=0,"",VLOOKUP(C26,DSNV!$C$8:$N$48,3,FALSE))</f>
        <v>Võ Thị Xuân Nữ</v>
      </c>
      <c r="E26" s="4" t="str">
        <f>IF(VLOOKUP(C26,DSNV!$C$8:$N$48,8,FALSE)="","",VLOOKUP(C26,DSNV!$C$8:$N$48,8,FALSE))</f>
        <v>Thành viên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4">
        <f t="shared" si="2"/>
        <v>0</v>
      </c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4">
        <f t="shared" si="3"/>
        <v>0</v>
      </c>
      <c r="BR26" s="4"/>
      <c r="BS26" s="4"/>
      <c r="BT26" s="45">
        <f t="shared" si="4"/>
        <v>0</v>
      </c>
      <c r="BU26" s="7"/>
      <c r="BW26" s="78"/>
      <c r="BX26" s="78"/>
    </row>
    <row r="27" spans="1:76" x14ac:dyDescent="0.3">
      <c r="A27" s="78"/>
      <c r="C27" s="6">
        <v>14</v>
      </c>
      <c r="D27" s="5" t="str">
        <f>IF(VLOOKUP(C27,DSNV!$C$8:$N$48,3,FALSE)=0,"",VLOOKUP(C27,DSNV!$C$8:$N$48,3,FALSE))</f>
        <v>Đỗ Thị Lan Phương</v>
      </c>
      <c r="E27" s="4" t="str">
        <f>IF(VLOOKUP(C27,DSNV!$C$8:$N$48,8,FALSE)="","",VLOOKUP(C27,DSNV!$C$8:$N$48,8,FALSE))</f>
        <v>Thành viên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4">
        <f t="shared" si="2"/>
        <v>0</v>
      </c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4">
        <f t="shared" si="3"/>
        <v>0</v>
      </c>
      <c r="BR27" s="4"/>
      <c r="BS27" s="4"/>
      <c r="BT27" s="45">
        <f t="shared" si="4"/>
        <v>0</v>
      </c>
      <c r="BU27" s="7"/>
      <c r="BW27" s="78"/>
      <c r="BX27" s="78"/>
    </row>
    <row r="28" spans="1:76" x14ac:dyDescent="0.3">
      <c r="A28" s="78"/>
      <c r="C28" s="6">
        <v>15</v>
      </c>
      <c r="D28" s="5" t="str">
        <f>IF(VLOOKUP(C28,DSNV!$C$8:$N$48,3,FALSE)=0,"",VLOOKUP(C28,DSNV!$C$8:$N$48,3,FALSE))</f>
        <v>Nguyễn Thị Nhã Quyên</v>
      </c>
      <c r="E28" s="4" t="str">
        <f>IF(VLOOKUP(C28,DSNV!$C$8:$N$48,8,FALSE)="","",VLOOKUP(C28,DSNV!$C$8:$N$48,8,FALSE))</f>
        <v>Thành viên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4">
        <f t="shared" si="2"/>
        <v>0</v>
      </c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4">
        <f t="shared" si="3"/>
        <v>0</v>
      </c>
      <c r="BR28" s="4">
        <f t="shared" ref="BR28:BR33" si="6">BQ28/2</f>
        <v>0</v>
      </c>
      <c r="BS28" s="4"/>
      <c r="BT28" s="45">
        <f t="shared" si="4"/>
        <v>0</v>
      </c>
      <c r="BU28" s="7"/>
      <c r="BW28" s="78"/>
      <c r="BX28" s="78"/>
    </row>
    <row r="29" spans="1:76" x14ac:dyDescent="0.3">
      <c r="A29" s="78"/>
      <c r="C29" s="6">
        <v>16</v>
      </c>
      <c r="D29" s="5" t="str">
        <f>IF(VLOOKUP(C29,DSNV!$C$8:$N$48,3,FALSE)=0,"",VLOOKUP(C29,DSNV!$C$8:$N$48,3,FALSE))</f>
        <v>Nguyễn Đức Vĩnh Thắng</v>
      </c>
      <c r="E29" s="4" t="str">
        <f>IF(VLOOKUP(C29,DSNV!$C$8:$N$48,8,FALSE)="","",VLOOKUP(C29,DSNV!$C$8:$N$48,8,FALSE))</f>
        <v>Trưởng ban</v>
      </c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4">
        <f t="shared" si="2"/>
        <v>0</v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4">
        <f t="shared" si="3"/>
        <v>0</v>
      </c>
      <c r="BR29" s="4">
        <f t="shared" si="6"/>
        <v>0</v>
      </c>
      <c r="BS29" s="4"/>
      <c r="BT29" s="45">
        <f t="shared" si="4"/>
        <v>0</v>
      </c>
      <c r="BU29" s="7"/>
      <c r="BW29" s="78"/>
      <c r="BX29" s="78"/>
    </row>
    <row r="30" spans="1:76" x14ac:dyDescent="0.3">
      <c r="A30" s="78"/>
      <c r="C30" s="6">
        <v>17</v>
      </c>
      <c r="D30" s="5" t="str">
        <f>IF(VLOOKUP(C30,DSNV!$C$8:$N$48,3,FALSE)=0,"",VLOOKUP(C30,DSNV!$C$8:$N$48,3,FALSE))</f>
        <v>Nguyễn Thành Tiến</v>
      </c>
      <c r="E30" s="4" t="str">
        <f>IF(VLOOKUP(C30,DSNV!$C$8:$N$48,8,FALSE)="","",VLOOKUP(C30,DSNV!$C$8:$N$48,8,FALSE))</f>
        <v>Thành viên</v>
      </c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4">
        <f t="shared" si="2"/>
        <v>0</v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4">
        <f t="shared" si="3"/>
        <v>0</v>
      </c>
      <c r="BR30" s="4">
        <f t="shared" si="6"/>
        <v>0</v>
      </c>
      <c r="BS30" s="4"/>
      <c r="BT30" s="45">
        <f t="shared" si="4"/>
        <v>0</v>
      </c>
      <c r="BU30" s="7"/>
      <c r="BW30" s="78"/>
      <c r="BX30" s="78"/>
    </row>
    <row r="31" spans="1:76" x14ac:dyDescent="0.3">
      <c r="A31" s="78"/>
      <c r="C31" s="6">
        <v>18</v>
      </c>
      <c r="D31" s="5" t="str">
        <f>IF(VLOOKUP(C31,DSNV!$C$8:$N$48,3,FALSE)=0,"",VLOOKUP(C31,DSNV!$C$8:$N$48,3,FALSE))</f>
        <v>Trần Thị Trúc</v>
      </c>
      <c r="E31" s="4" t="str">
        <f>IF(VLOOKUP(C31,DSNV!$C$8:$N$48,8,FALSE)="","",VLOOKUP(C31,DSNV!$C$8:$N$48,8,FALSE))</f>
        <v>Thành viên</v>
      </c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4">
        <f t="shared" si="2"/>
        <v>0</v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4">
        <f t="shared" si="3"/>
        <v>0</v>
      </c>
      <c r="BR31" s="4">
        <f t="shared" si="6"/>
        <v>0</v>
      </c>
      <c r="BS31" s="4"/>
      <c r="BT31" s="45">
        <f t="shared" si="4"/>
        <v>0</v>
      </c>
      <c r="BU31" s="7"/>
      <c r="BW31" s="78"/>
      <c r="BX31" s="78"/>
    </row>
    <row r="32" spans="1:76" x14ac:dyDescent="0.3">
      <c r="A32" s="78"/>
      <c r="C32" s="6">
        <v>19</v>
      </c>
      <c r="D32" s="5" t="str">
        <f>IF(VLOOKUP(C32,DSNV!$C$8:$N$48,3,FALSE)=0,"",VLOOKUP(C32,DSNV!$C$8:$N$48,3,FALSE))</f>
        <v>Bùi Hoàng Trung</v>
      </c>
      <c r="E32" s="4" t="str">
        <f>IF(VLOOKUP(C32,DSNV!$C$8:$N$48,8,FALSE)="","",VLOOKUP(C32,DSNV!$C$8:$N$48,8,FALSE))</f>
        <v>Thành viên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4">
        <f t="shared" si="2"/>
        <v>0</v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4">
        <f t="shared" si="3"/>
        <v>0</v>
      </c>
      <c r="BR32" s="4">
        <f t="shared" si="6"/>
        <v>0</v>
      </c>
      <c r="BS32" s="4"/>
      <c r="BT32" s="45">
        <f t="shared" si="4"/>
        <v>0</v>
      </c>
      <c r="BU32" s="7"/>
      <c r="BW32" s="78"/>
      <c r="BX32" s="78"/>
    </row>
    <row r="33" spans="1:76" ht="15" thickBot="1" x14ac:dyDescent="0.35">
      <c r="A33" s="78"/>
      <c r="C33" s="6">
        <v>20</v>
      </c>
      <c r="D33" s="5" t="str">
        <f>IF(VLOOKUP(C33,DSNV!$C$8:$N$48,3,FALSE)=0,"",VLOOKUP(C33,DSNV!$C$8:$N$48,3,FALSE))</f>
        <v>Ngô Trúc Tường Vy</v>
      </c>
      <c r="E33" s="4" t="str">
        <f>IF(VLOOKUP(C33,DSNV!$C$8:$N$48,8,FALSE)="","",VLOOKUP(C33,DSNV!$C$8:$N$48,8,FALSE))</f>
        <v>Trưởng ban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4">
        <f t="shared" si="2"/>
        <v>0</v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4">
        <f t="shared" si="3"/>
        <v>0</v>
      </c>
      <c r="BR33" s="4">
        <f t="shared" si="6"/>
        <v>0</v>
      </c>
      <c r="BS33" s="4"/>
      <c r="BT33" s="45">
        <f t="shared" si="4"/>
        <v>0</v>
      </c>
      <c r="BU33" s="7"/>
      <c r="BW33" s="78"/>
      <c r="BX33" s="78"/>
    </row>
    <row r="34" spans="1:76" ht="15" hidden="1" thickBot="1" x14ac:dyDescent="0.35">
      <c r="A34" s="78"/>
      <c r="C34" s="6">
        <v>21</v>
      </c>
      <c r="D34" s="5" t="str">
        <f>IF(VLOOKUP(C34,DSNV!$C$8:$N$48,3,FALSE)=0,"",VLOOKUP(C34,DSNV!$C$8:$N$48,3,FALSE))</f>
        <v/>
      </c>
      <c r="E34" s="4" t="str">
        <f>IF(VLOOKUP(C34,DSNV!$C$8:$N$48,8,FALSE)="","",VLOOKUP(C34,DSNV!$C$8:$N$48,8,FALSE))</f>
        <v/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4">
        <f t="shared" si="2"/>
        <v>0</v>
      </c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4">
        <f t="shared" si="3"/>
        <v>0</v>
      </c>
      <c r="BR34" s="4"/>
      <c r="BS34" s="4"/>
      <c r="BT34" s="45">
        <f t="shared" si="4"/>
        <v>0</v>
      </c>
      <c r="BU34" s="7"/>
      <c r="BW34" s="78"/>
      <c r="BX34" s="78"/>
    </row>
    <row r="35" spans="1:76" ht="15" hidden="1" thickBot="1" x14ac:dyDescent="0.35">
      <c r="A35" s="78"/>
      <c r="C35" s="6">
        <v>22</v>
      </c>
      <c r="D35" s="5" t="str">
        <f>IF(VLOOKUP(C35,DSNV!$C$8:$N$48,3,FALSE)=0,"",VLOOKUP(C35,DSNV!$C$8:$N$48,3,FALSE))</f>
        <v/>
      </c>
      <c r="E35" s="4" t="str">
        <f>IF(VLOOKUP(C35,DSNV!$C$8:$N$48,8,FALSE)="","",VLOOKUP(C35,DSNV!$C$8:$N$48,8,FALSE))</f>
        <v/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4">
        <f t="shared" si="2"/>
        <v>0</v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4">
        <f t="shared" si="3"/>
        <v>0</v>
      </c>
      <c r="BR35" s="4"/>
      <c r="BS35" s="4"/>
      <c r="BT35" s="45">
        <f t="shared" si="4"/>
        <v>0</v>
      </c>
      <c r="BU35" s="7"/>
      <c r="BW35" s="78"/>
      <c r="BX35" s="78"/>
    </row>
    <row r="36" spans="1:76" ht="15" hidden="1" thickBot="1" x14ac:dyDescent="0.35">
      <c r="A36" s="78"/>
      <c r="C36" s="6">
        <v>23</v>
      </c>
      <c r="D36" s="5" t="str">
        <f>IF(VLOOKUP(C36,DSNV!$C$8:$N$48,3,FALSE)=0,"",VLOOKUP(C36,DSNV!$C$8:$N$48,3,FALSE))</f>
        <v/>
      </c>
      <c r="E36" s="4" t="str">
        <f>IF(VLOOKUP(C36,DSNV!$C$8:$N$48,8,FALSE)="","",VLOOKUP(C36,DSNV!$C$8:$N$48,8,FALSE))</f>
        <v/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4">
        <f t="shared" si="2"/>
        <v>0</v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4">
        <f t="shared" si="3"/>
        <v>0</v>
      </c>
      <c r="BR36" s="4"/>
      <c r="BS36" s="4"/>
      <c r="BT36" s="45">
        <f t="shared" si="4"/>
        <v>0</v>
      </c>
      <c r="BU36" s="7"/>
      <c r="BW36" s="78"/>
      <c r="BX36" s="78"/>
    </row>
    <row r="37" spans="1:76" ht="15" hidden="1" thickBot="1" x14ac:dyDescent="0.35">
      <c r="A37" s="78"/>
      <c r="C37" s="6">
        <v>24</v>
      </c>
      <c r="D37" s="5" t="str">
        <f>IF(VLOOKUP(C37,DSNV!$C$8:$N$48,3,FALSE)=0,"",VLOOKUP(C37,DSNV!$C$8:$N$48,3,FALSE))</f>
        <v/>
      </c>
      <c r="E37" s="4" t="str">
        <f>IF(VLOOKUP(C37,DSNV!$C$8:$N$48,8,FALSE)="","",VLOOKUP(C37,DSNV!$C$8:$N$48,8,FALSE))</f>
        <v/>
      </c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4">
        <f t="shared" si="2"/>
        <v>0</v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4">
        <f t="shared" si="3"/>
        <v>0</v>
      </c>
      <c r="BR37" s="4"/>
      <c r="BS37" s="4"/>
      <c r="BT37" s="45">
        <f t="shared" si="4"/>
        <v>0</v>
      </c>
      <c r="BU37" s="7"/>
      <c r="BW37" s="78"/>
      <c r="BX37" s="78"/>
    </row>
    <row r="38" spans="1:76" ht="15" hidden="1" thickBot="1" x14ac:dyDescent="0.35">
      <c r="A38" s="78"/>
      <c r="C38" s="6">
        <v>25</v>
      </c>
      <c r="D38" s="5" t="str">
        <f>IF(VLOOKUP(C38,DSNV!$C$8:$N$48,3,FALSE)=0,"",VLOOKUP(C38,DSNV!$C$8:$N$48,3,FALSE))</f>
        <v/>
      </c>
      <c r="E38" s="4" t="str">
        <f>IF(VLOOKUP(C38,DSNV!$C$8:$N$48,8,FALSE)="","",VLOOKUP(C38,DSNV!$C$8:$N$48,8,FALSE))</f>
        <v/>
      </c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4">
        <f t="shared" si="2"/>
        <v>0</v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4">
        <f t="shared" si="3"/>
        <v>0</v>
      </c>
      <c r="BR38" s="4"/>
      <c r="BS38" s="4"/>
      <c r="BT38" s="45">
        <f t="shared" si="4"/>
        <v>0</v>
      </c>
      <c r="BU38" s="7"/>
      <c r="BW38" s="78"/>
      <c r="BX38" s="78"/>
    </row>
    <row r="39" spans="1:76" ht="15" hidden="1" thickBot="1" x14ac:dyDescent="0.35">
      <c r="A39" s="78"/>
      <c r="C39" s="6">
        <v>26</v>
      </c>
      <c r="D39" s="5" t="str">
        <f>IF(VLOOKUP(C39,DSNV!$C$8:$N$48,3,FALSE)=0,"",VLOOKUP(C39,DSNV!$C$8:$N$48,3,FALSE))</f>
        <v/>
      </c>
      <c r="E39" s="4" t="str">
        <f>IF(VLOOKUP(C39,DSNV!$C$8:$N$48,8,FALSE)="","",VLOOKUP(C39,DSNV!$C$8:$N$48,8,FALSE))</f>
        <v/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4">
        <f t="shared" si="2"/>
        <v>0</v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4">
        <f t="shared" si="3"/>
        <v>0</v>
      </c>
      <c r="BR39" s="4"/>
      <c r="BS39" s="4"/>
      <c r="BT39" s="45">
        <f t="shared" si="4"/>
        <v>0</v>
      </c>
      <c r="BU39" s="7"/>
      <c r="BW39" s="78"/>
      <c r="BX39" s="78"/>
    </row>
    <row r="40" spans="1:76" ht="15" hidden="1" thickBot="1" x14ac:dyDescent="0.35">
      <c r="A40" s="78"/>
      <c r="C40" s="6">
        <v>27</v>
      </c>
      <c r="D40" s="5" t="str">
        <f>IF(VLOOKUP(C40,DSNV!$C$8:$N$48,3,FALSE)=0,"",VLOOKUP(C40,DSNV!$C$8:$N$48,3,FALSE))</f>
        <v/>
      </c>
      <c r="E40" s="4" t="str">
        <f>IF(VLOOKUP(C40,DSNV!$C$8:$N$48,8,FALSE)="","",VLOOKUP(C40,DSNV!$C$8:$N$48,8,FALSE))</f>
        <v/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4">
        <f t="shared" si="2"/>
        <v>0</v>
      </c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4">
        <f t="shared" si="3"/>
        <v>0</v>
      </c>
      <c r="BR40" s="4"/>
      <c r="BS40" s="4"/>
      <c r="BT40" s="45">
        <f t="shared" si="4"/>
        <v>0</v>
      </c>
      <c r="BU40" s="7"/>
      <c r="BW40" s="78"/>
      <c r="BX40" s="78"/>
    </row>
    <row r="41" spans="1:76" ht="15" hidden="1" thickBot="1" x14ac:dyDescent="0.35">
      <c r="A41" s="78"/>
      <c r="C41" s="6">
        <v>28</v>
      </c>
      <c r="D41" s="5" t="str">
        <f>IF(VLOOKUP(C41,DSNV!$C$8:$N$48,3,FALSE)=0,"",VLOOKUP(C41,DSNV!$C$8:$N$48,3,FALSE))</f>
        <v/>
      </c>
      <c r="E41" s="4" t="str">
        <f>IF(VLOOKUP(C41,DSNV!$C$8:$N$48,8,FALSE)="","",VLOOKUP(C41,DSNV!$C$8:$N$48,8,FALSE))</f>
        <v/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4">
        <f t="shared" si="2"/>
        <v>0</v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4">
        <f t="shared" si="3"/>
        <v>0</v>
      </c>
      <c r="BR41" s="4"/>
      <c r="BS41" s="4"/>
      <c r="BT41" s="45">
        <f t="shared" si="4"/>
        <v>0</v>
      </c>
      <c r="BU41" s="7"/>
      <c r="BW41" s="78"/>
      <c r="BX41" s="78"/>
    </row>
    <row r="42" spans="1:76" ht="15" hidden="1" thickBot="1" x14ac:dyDescent="0.35">
      <c r="A42" s="78"/>
      <c r="C42" s="6">
        <v>29</v>
      </c>
      <c r="D42" s="5" t="str">
        <f>IF(VLOOKUP(C42,DSNV!$C$8:$N$48,3,FALSE)=0,"",VLOOKUP(C42,DSNV!$C$8:$N$48,3,FALSE))</f>
        <v/>
      </c>
      <c r="E42" s="4" t="str">
        <f>IF(VLOOKUP(C42,DSNV!$C$8:$N$48,8,FALSE)="","",VLOOKUP(C42,DSNV!$C$8:$N$48,8,FALSE))</f>
        <v/>
      </c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4">
        <f t="shared" si="2"/>
        <v>0</v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4">
        <f t="shared" si="3"/>
        <v>0</v>
      </c>
      <c r="BR42" s="4"/>
      <c r="BS42" s="4"/>
      <c r="BT42" s="45">
        <f t="shared" si="4"/>
        <v>0</v>
      </c>
      <c r="BU42" s="7"/>
      <c r="BW42" s="78"/>
      <c r="BX42" s="78"/>
    </row>
    <row r="43" spans="1:76" ht="15" hidden="1" thickBot="1" x14ac:dyDescent="0.35">
      <c r="A43" s="78"/>
      <c r="C43" s="6">
        <v>30</v>
      </c>
      <c r="D43" s="5" t="str">
        <f>IF(VLOOKUP(C43,DSNV!$C$8:$N$48,3,FALSE)=0,"",VLOOKUP(C43,DSNV!$C$8:$N$48,3,FALSE))</f>
        <v/>
      </c>
      <c r="E43" s="4" t="str">
        <f>IF(VLOOKUP(C43,DSNV!$C$8:$N$48,8,FALSE)="","",VLOOKUP(C43,DSNV!$C$8:$N$48,8,FALSE))</f>
        <v/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4">
        <f t="shared" si="2"/>
        <v>0</v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4">
        <f t="shared" si="3"/>
        <v>0</v>
      </c>
      <c r="BR43" s="4"/>
      <c r="BS43" s="4"/>
      <c r="BT43" s="45">
        <f t="shared" si="4"/>
        <v>0</v>
      </c>
      <c r="BU43" s="7"/>
      <c r="BW43" s="78"/>
      <c r="BX43" s="78"/>
    </row>
    <row r="44" spans="1:76" ht="15" hidden="1" thickBot="1" x14ac:dyDescent="0.35">
      <c r="A44" s="78"/>
      <c r="C44" s="6">
        <v>31</v>
      </c>
      <c r="D44" s="5" t="str">
        <f>IF(VLOOKUP(C44,DSNV!$C$8:$N$48,3,FALSE)=0,"",VLOOKUP(C44,DSNV!$C$8:$N$48,3,FALSE))</f>
        <v/>
      </c>
      <c r="E44" s="4" t="str">
        <f>IF(VLOOKUP(C44,DSNV!$C$8:$N$48,8,FALSE)="","",VLOOKUP(C44,DSNV!$C$8:$N$48,8,FALSE))</f>
        <v/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4">
        <f t="shared" si="2"/>
        <v>0</v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4">
        <f t="shared" si="3"/>
        <v>0</v>
      </c>
      <c r="BR44" s="4"/>
      <c r="BS44" s="4"/>
      <c r="BT44" s="45">
        <f t="shared" si="4"/>
        <v>0</v>
      </c>
      <c r="BU44" s="7"/>
      <c r="BW44" s="78"/>
      <c r="BX44" s="78"/>
    </row>
    <row r="45" spans="1:76" ht="15" hidden="1" thickBot="1" x14ac:dyDescent="0.35">
      <c r="A45" s="78"/>
      <c r="C45" s="6">
        <v>32</v>
      </c>
      <c r="D45" s="5" t="str">
        <f>IF(VLOOKUP(C45,DSNV!$C$8:$N$48,3,FALSE)=0,"",VLOOKUP(C45,DSNV!$C$8:$N$48,3,FALSE))</f>
        <v/>
      </c>
      <c r="E45" s="4" t="str">
        <f>IF(VLOOKUP(C45,DSNV!$C$8:$N$48,8,FALSE)="","",VLOOKUP(C45,DSNV!$C$8:$N$48,8,FALSE))</f>
        <v/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4">
        <f t="shared" si="2"/>
        <v>0</v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4">
        <f t="shared" si="3"/>
        <v>0</v>
      </c>
      <c r="BR45" s="4"/>
      <c r="BS45" s="4"/>
      <c r="BT45" s="45">
        <f t="shared" si="4"/>
        <v>0</v>
      </c>
      <c r="BU45" s="7"/>
      <c r="BW45" s="78"/>
      <c r="BX45" s="78"/>
    </row>
    <row r="46" spans="1:76" ht="15" hidden="1" thickBot="1" x14ac:dyDescent="0.35">
      <c r="A46" s="78"/>
      <c r="C46" s="6">
        <v>33</v>
      </c>
      <c r="D46" s="5" t="str">
        <f>IF(VLOOKUP(C46,DSNV!$C$8:$N$48,3,FALSE)=0,"",VLOOKUP(C46,DSNV!$C$8:$N$48,3,FALSE))</f>
        <v/>
      </c>
      <c r="E46" s="4" t="str">
        <f>IF(VLOOKUP(C46,DSNV!$C$8:$N$48,8,FALSE)="","",VLOOKUP(C46,DSNV!$C$8:$N$48,8,FALSE))</f>
        <v/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4">
        <f t="shared" si="2"/>
        <v>0</v>
      </c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4">
        <f t="shared" si="3"/>
        <v>0</v>
      </c>
      <c r="BR46" s="4"/>
      <c r="BS46" s="4"/>
      <c r="BT46" s="45">
        <f t="shared" si="4"/>
        <v>0</v>
      </c>
      <c r="BU46" s="7"/>
      <c r="BW46" s="78"/>
      <c r="BX46" s="78"/>
    </row>
    <row r="47" spans="1:76" ht="15" hidden="1" thickBot="1" x14ac:dyDescent="0.35">
      <c r="A47" s="78"/>
      <c r="C47" s="6">
        <v>34</v>
      </c>
      <c r="D47" s="5" t="str">
        <f>IF(VLOOKUP(C47,DSNV!$C$8:$N$48,3,FALSE)=0,"",VLOOKUP(C47,DSNV!$C$8:$N$48,3,FALSE))</f>
        <v/>
      </c>
      <c r="E47" s="4" t="str">
        <f>IF(VLOOKUP(C47,DSNV!$C$8:$N$48,8,FALSE)="","",VLOOKUP(C47,DSNV!$C$8:$N$48,8,FALSE))</f>
        <v/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4">
        <f t="shared" si="2"/>
        <v>0</v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4">
        <f t="shared" si="3"/>
        <v>0</v>
      </c>
      <c r="BR47" s="4"/>
      <c r="BS47" s="4"/>
      <c r="BT47" s="45">
        <f t="shared" si="4"/>
        <v>0</v>
      </c>
      <c r="BU47" s="7"/>
      <c r="BW47" s="78"/>
      <c r="BX47" s="78"/>
    </row>
    <row r="48" spans="1:76" ht="15" hidden="1" thickBot="1" x14ac:dyDescent="0.35">
      <c r="A48" s="78"/>
      <c r="C48" s="6">
        <v>35</v>
      </c>
      <c r="D48" s="5" t="str">
        <f>IF(VLOOKUP(C48,DSNV!$C$8:$N$48,3,FALSE)=0,"",VLOOKUP(C48,DSNV!$C$8:$N$48,3,FALSE))</f>
        <v/>
      </c>
      <c r="E48" s="4" t="str">
        <f>IF(VLOOKUP(C48,DSNV!$C$8:$N$48,8,FALSE)="","",VLOOKUP(C48,DSNV!$C$8:$N$48,8,FALSE))</f>
        <v/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4">
        <f t="shared" si="2"/>
        <v>0</v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4">
        <f t="shared" si="3"/>
        <v>0</v>
      </c>
      <c r="BR48" s="4"/>
      <c r="BS48" s="4"/>
      <c r="BT48" s="45">
        <f t="shared" si="4"/>
        <v>0</v>
      </c>
      <c r="BU48" s="7"/>
      <c r="BW48" s="78"/>
      <c r="BX48" s="78"/>
    </row>
    <row r="49" spans="1:76" ht="15" hidden="1" thickBot="1" x14ac:dyDescent="0.35">
      <c r="A49" s="78"/>
      <c r="C49" s="6">
        <v>36</v>
      </c>
      <c r="D49" s="5" t="str">
        <f>IF(VLOOKUP(C49,DSNV!$C$8:$N$48,3,FALSE)=0,"",VLOOKUP(C49,DSNV!$C$8:$N$48,3,FALSE))</f>
        <v/>
      </c>
      <c r="E49" s="4" t="str">
        <f>IF(VLOOKUP(C49,DSNV!$C$8:$N$48,8,FALSE)="","",VLOOKUP(C49,DSNV!$C$8:$N$48,8,FALSE))</f>
        <v/>
      </c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4">
        <f t="shared" si="2"/>
        <v>0</v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4">
        <f t="shared" si="3"/>
        <v>0</v>
      </c>
      <c r="BR49" s="4"/>
      <c r="BS49" s="4"/>
      <c r="BT49" s="45">
        <f t="shared" si="4"/>
        <v>0</v>
      </c>
      <c r="BU49" s="7"/>
      <c r="BW49" s="78"/>
      <c r="BX49" s="78"/>
    </row>
    <row r="50" spans="1:76" ht="15" hidden="1" thickBot="1" x14ac:dyDescent="0.35">
      <c r="A50" s="78"/>
      <c r="C50" s="6">
        <v>37</v>
      </c>
      <c r="D50" s="5" t="str">
        <f>IF(VLOOKUP(C50,DSNV!$C$8:$N$48,3,FALSE)=0,"",VLOOKUP(C50,DSNV!$C$8:$N$48,3,FALSE))</f>
        <v/>
      </c>
      <c r="E50" s="4" t="str">
        <f>IF(VLOOKUP(C50,DSNV!$C$8:$N$48,8,FALSE)="","",VLOOKUP(C50,DSNV!$C$8:$N$48,8,FALSE))</f>
        <v/>
      </c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4">
        <f t="shared" si="2"/>
        <v>0</v>
      </c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4">
        <f t="shared" si="3"/>
        <v>0</v>
      </c>
      <c r="BR50" s="4"/>
      <c r="BS50" s="4"/>
      <c r="BT50" s="45">
        <f t="shared" si="4"/>
        <v>0</v>
      </c>
      <c r="BU50" s="7"/>
      <c r="BW50" s="78"/>
      <c r="BX50" s="78"/>
    </row>
    <row r="51" spans="1:76" ht="15" hidden="1" thickBot="1" x14ac:dyDescent="0.35">
      <c r="A51" s="78"/>
      <c r="C51" s="6">
        <v>38</v>
      </c>
      <c r="D51" s="5" t="str">
        <f>IF(VLOOKUP(C51,DSNV!$C$8:$N$48,3,FALSE)=0,"",VLOOKUP(C51,DSNV!$C$8:$N$48,3,FALSE))</f>
        <v/>
      </c>
      <c r="E51" s="4" t="str">
        <f>IF(VLOOKUP(C51,DSNV!$C$8:$N$48,8,FALSE)="","",VLOOKUP(C51,DSNV!$C$8:$N$48,8,FALSE))</f>
        <v/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4">
        <f t="shared" si="2"/>
        <v>0</v>
      </c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4">
        <f t="shared" si="3"/>
        <v>0</v>
      </c>
      <c r="BR51" s="4"/>
      <c r="BS51" s="4"/>
      <c r="BT51" s="45">
        <f t="shared" si="4"/>
        <v>0</v>
      </c>
      <c r="BU51" s="7"/>
      <c r="BW51" s="78"/>
      <c r="BX51" s="78"/>
    </row>
    <row r="52" spans="1:76" ht="15" hidden="1" thickBot="1" x14ac:dyDescent="0.35">
      <c r="A52" s="78"/>
      <c r="C52" s="6">
        <v>39</v>
      </c>
      <c r="D52" s="5" t="str">
        <f>IF(VLOOKUP(C52,DSNV!$C$8:$N$48,3,FALSE)=0,"",VLOOKUP(C52,DSNV!$C$8:$N$48,3,FALSE))</f>
        <v/>
      </c>
      <c r="E52" s="4" t="str">
        <f>IF(VLOOKUP(C52,DSNV!$C$8:$N$48,8,FALSE)="","",VLOOKUP(C52,DSNV!$C$8:$N$48,8,FALSE))</f>
        <v/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4">
        <f t="shared" si="2"/>
        <v>0</v>
      </c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4">
        <f t="shared" si="3"/>
        <v>0</v>
      </c>
      <c r="BR52" s="4"/>
      <c r="BS52" s="4"/>
      <c r="BT52" s="45">
        <f t="shared" si="4"/>
        <v>0</v>
      </c>
      <c r="BU52" s="7"/>
      <c r="BW52" s="78"/>
      <c r="BX52" s="78"/>
    </row>
    <row r="53" spans="1:76" ht="15" hidden="1" thickBot="1" x14ac:dyDescent="0.35">
      <c r="A53" s="78"/>
      <c r="C53" s="14">
        <v>40</v>
      </c>
      <c r="D53" s="5" t="str">
        <f>IF(VLOOKUP(C53,DSNV!$C$8:$N$48,3,FALSE)=0,"",VLOOKUP(C53,DSNV!$C$8:$N$48,3,FALSE))</f>
        <v/>
      </c>
      <c r="E53" s="4" t="str">
        <f>IF(VLOOKUP(C53,DSNV!$C$8:$N$48,8,FALSE)="","",VLOOKUP(C53,DSNV!$C$8:$N$48,8,FALSE))</f>
        <v/>
      </c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4">
        <f t="shared" si="2"/>
        <v>0</v>
      </c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4">
        <f t="shared" si="3"/>
        <v>0</v>
      </c>
      <c r="BR53" s="4"/>
      <c r="BS53" s="4"/>
      <c r="BT53" s="45">
        <f t="shared" si="4"/>
        <v>0</v>
      </c>
      <c r="BU53" s="15"/>
      <c r="BW53" s="78"/>
      <c r="BX53" s="78"/>
    </row>
    <row r="54" spans="1:76" ht="15" thickBot="1" x14ac:dyDescent="0.35">
      <c r="A54" s="78"/>
      <c r="C54" s="121" t="s">
        <v>53</v>
      </c>
      <c r="D54" s="121"/>
      <c r="E54" s="121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37">
        <f>SUM(AK14:AK53)</f>
        <v>0</v>
      </c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37">
        <f>SUM(BQ14:BQ53)</f>
        <v>0</v>
      </c>
      <c r="BR54" s="37">
        <f t="shared" ref="BR54:BS54" si="7">SUM(BR14:BR53)</f>
        <v>0</v>
      </c>
      <c r="BS54" s="37">
        <f t="shared" si="7"/>
        <v>0</v>
      </c>
      <c r="BT54" s="37">
        <f>SUM(BT14:BT53)</f>
        <v>0</v>
      </c>
      <c r="BU54" s="17"/>
      <c r="BW54" s="78"/>
      <c r="BX54" s="78"/>
    </row>
    <row r="55" spans="1:76" x14ac:dyDescent="0.3">
      <c r="A55" s="78"/>
      <c r="BW55" s="78"/>
      <c r="BX55" s="78"/>
    </row>
    <row r="56" spans="1:76" x14ac:dyDescent="0.3">
      <c r="A56" s="78"/>
      <c r="BW56" s="78"/>
      <c r="BX56" s="78"/>
    </row>
    <row r="57" spans="1:76" x14ac:dyDescent="0.3">
      <c r="A57" s="78"/>
      <c r="B57" s="78"/>
      <c r="C57" s="77"/>
      <c r="D57" s="78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  <c r="AW57" s="77"/>
      <c r="AX57" s="77"/>
      <c r="AY57" s="77"/>
      <c r="AZ57" s="77"/>
      <c r="BA57" s="77"/>
      <c r="BB57" s="77"/>
      <c r="BC57" s="77"/>
      <c r="BD57" s="77"/>
      <c r="BE57" s="77"/>
      <c r="BF57" s="77"/>
      <c r="BG57" s="77"/>
      <c r="BH57" s="77"/>
      <c r="BI57" s="77"/>
      <c r="BJ57" s="77"/>
      <c r="BK57" s="77"/>
      <c r="BL57" s="77"/>
      <c r="BM57" s="77"/>
      <c r="BN57" s="77"/>
      <c r="BO57" s="77"/>
      <c r="BP57" s="77"/>
      <c r="BQ57" s="77"/>
      <c r="BR57" s="77"/>
      <c r="BS57" s="77"/>
      <c r="BT57" s="77"/>
      <c r="BU57" s="78"/>
      <c r="BV57" s="78"/>
      <c r="BW57" s="78"/>
      <c r="BX57" s="78"/>
    </row>
    <row r="58" spans="1:76" x14ac:dyDescent="0.3">
      <c r="A58" s="78"/>
      <c r="B58" s="78"/>
      <c r="C58" s="77"/>
      <c r="D58" s="78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7"/>
      <c r="AL58" s="77"/>
      <c r="AM58" s="77"/>
      <c r="AN58" s="77"/>
      <c r="AO58" s="77"/>
      <c r="AP58" s="77"/>
      <c r="AQ58" s="77"/>
      <c r="AR58" s="77"/>
      <c r="AS58" s="77"/>
      <c r="AT58" s="77"/>
      <c r="AU58" s="77"/>
      <c r="AV58" s="77"/>
      <c r="AW58" s="77"/>
      <c r="AX58" s="77"/>
      <c r="AY58" s="77"/>
      <c r="AZ58" s="77"/>
      <c r="BA58" s="77"/>
      <c r="BB58" s="77"/>
      <c r="BC58" s="77"/>
      <c r="BD58" s="77"/>
      <c r="BE58" s="77"/>
      <c r="BF58" s="77"/>
      <c r="BG58" s="77"/>
      <c r="BH58" s="77"/>
      <c r="BI58" s="77"/>
      <c r="BJ58" s="77"/>
      <c r="BK58" s="77"/>
      <c r="BL58" s="77"/>
      <c r="BM58" s="77"/>
      <c r="BN58" s="77"/>
      <c r="BO58" s="77"/>
      <c r="BP58" s="77"/>
      <c r="BQ58" s="77"/>
      <c r="BR58" s="77"/>
      <c r="BS58" s="77"/>
      <c r="BT58" s="77"/>
      <c r="BU58" s="78"/>
      <c r="BV58" s="78"/>
      <c r="BW58" s="78"/>
      <c r="BX58" s="78"/>
    </row>
    <row r="59" spans="1:76" x14ac:dyDescent="0.3">
      <c r="A59" s="78"/>
      <c r="B59" s="78"/>
      <c r="C59" s="77"/>
      <c r="D59" s="78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  <c r="AI59" s="77"/>
      <c r="AJ59" s="77"/>
      <c r="AK59" s="77"/>
      <c r="AL59" s="77"/>
      <c r="AM59" s="77"/>
      <c r="AN59" s="77"/>
      <c r="AO59" s="77"/>
      <c r="AP59" s="77"/>
      <c r="AQ59" s="77"/>
      <c r="AR59" s="77"/>
      <c r="AS59" s="77"/>
      <c r="AT59" s="77"/>
      <c r="AU59" s="77"/>
      <c r="AV59" s="77"/>
      <c r="AW59" s="77"/>
      <c r="AX59" s="77"/>
      <c r="AY59" s="77"/>
      <c r="AZ59" s="77"/>
      <c r="BA59" s="77"/>
      <c r="BB59" s="77"/>
      <c r="BC59" s="77"/>
      <c r="BD59" s="77"/>
      <c r="BE59" s="77"/>
      <c r="BF59" s="77"/>
      <c r="BG59" s="77"/>
      <c r="BH59" s="77"/>
      <c r="BI59" s="77"/>
      <c r="BJ59" s="77"/>
      <c r="BK59" s="77"/>
      <c r="BL59" s="77"/>
      <c r="BM59" s="77"/>
      <c r="BN59" s="77"/>
      <c r="BO59" s="77"/>
      <c r="BP59" s="77"/>
      <c r="BQ59" s="77"/>
      <c r="BR59" s="77"/>
      <c r="BS59" s="77"/>
      <c r="BT59" s="77"/>
      <c r="BU59" s="78"/>
      <c r="BV59" s="78"/>
      <c r="BW59" s="78"/>
      <c r="BX59" s="78"/>
    </row>
  </sheetData>
  <autoFilter ref="C11:BU54" xr:uid="{5B728C7B-9475-4B02-8B4D-6C91ABA364A6}"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</autoFilter>
  <mergeCells count="12">
    <mergeCell ref="BQ11:BQ13"/>
    <mergeCell ref="BT11:BT13"/>
    <mergeCell ref="BU11:BU13"/>
    <mergeCell ref="C54:E54"/>
    <mergeCell ref="BR11:BR13"/>
    <mergeCell ref="BS11:BS13"/>
    <mergeCell ref="C11:C13"/>
    <mergeCell ref="D11:D13"/>
    <mergeCell ref="E11:E13"/>
    <mergeCell ref="F11:AJ11"/>
    <mergeCell ref="AK11:AK13"/>
    <mergeCell ref="AL11:BP11"/>
  </mergeCells>
  <conditionalFormatting sqref="F12:AJ54 AL12:BP54">
    <cfRule type="expression" dxfId="19" priority="3">
      <formula>OR(WEEKDAY($D$1+F$12)=1,WEEKDAY($D$1+F$12)=7)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1CC30-916E-47C9-B915-5A90B4963961}">
  <sheetPr codeName="Sheet10"/>
  <dimension ref="A1:BX59"/>
  <sheetViews>
    <sheetView showGridLines="0" showRowColHeaders="0" workbookViewId="0">
      <pane xSplit="5" ySplit="13" topLeftCell="F14" activePane="bottomRight" state="frozen"/>
      <selection pane="topRight" activeCell="F1" sqref="F1"/>
      <selection pane="bottomLeft" activeCell="A14" sqref="A14"/>
      <selection pane="bottomRight"/>
    </sheetView>
  </sheetViews>
  <sheetFormatPr defaultColWidth="0" defaultRowHeight="14.4" zeroHeight="1" x14ac:dyDescent="0.3"/>
  <cols>
    <col min="1" max="1" width="8.88671875" style="78" customWidth="1"/>
    <col min="2" max="2" width="3.33203125" style="78" customWidth="1"/>
    <col min="3" max="3" width="5.21875" style="77" customWidth="1"/>
    <col min="4" max="4" width="23" style="78" bestFit="1" customWidth="1"/>
    <col min="5" max="5" width="12" style="77" customWidth="1"/>
    <col min="6" max="36" width="3.44140625" style="77" bestFit="1" customWidth="1"/>
    <col min="37" max="37" width="6.77734375" style="77" customWidth="1"/>
    <col min="38" max="68" width="3.44140625" style="77" bestFit="1" customWidth="1"/>
    <col min="69" max="72" width="6.77734375" style="77" customWidth="1"/>
    <col min="73" max="73" width="9.88671875" style="78" customWidth="1"/>
    <col min="74" max="74" width="3.33203125" style="78" customWidth="1"/>
    <col min="75" max="75" width="8.88671875" style="78" customWidth="1"/>
    <col min="76" max="76" width="8.88671875" style="78" hidden="1" customWidth="1"/>
    <col min="77" max="16384" width="8.88671875" style="2" hidden="1"/>
  </cols>
  <sheetData>
    <row r="1" spans="2:74" s="104" customFormat="1" x14ac:dyDescent="0.3">
      <c r="C1" s="105"/>
      <c r="D1" s="106">
        <f>D2-1</f>
        <v>44347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</row>
    <row r="2" spans="2:74" s="104" customFormat="1" x14ac:dyDescent="0.3">
      <c r="C2" s="105"/>
      <c r="D2" s="107" t="str">
        <f>"01/06/"&amp;E9</f>
        <v>01/06/2021</v>
      </c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105"/>
      <c r="BP2" s="105"/>
      <c r="BQ2" s="105"/>
      <c r="BR2" s="105"/>
      <c r="BS2" s="105"/>
      <c r="BT2" s="105"/>
    </row>
    <row r="3" spans="2:74" s="110" customFormat="1" x14ac:dyDescent="0.3">
      <c r="C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1"/>
      <c r="AU3" s="111"/>
      <c r="AV3" s="111"/>
      <c r="AW3" s="111"/>
      <c r="AX3" s="111"/>
      <c r="AY3" s="111"/>
      <c r="AZ3" s="111"/>
      <c r="BA3" s="111"/>
      <c r="BB3" s="111"/>
      <c r="BC3" s="111"/>
      <c r="BD3" s="111"/>
      <c r="BE3" s="111"/>
      <c r="BF3" s="111"/>
      <c r="BG3" s="111"/>
      <c r="BH3" s="111"/>
      <c r="BI3" s="111"/>
      <c r="BJ3" s="111"/>
      <c r="BK3" s="111"/>
      <c r="BL3" s="111"/>
      <c r="BM3" s="111"/>
      <c r="BN3" s="111"/>
      <c r="BO3" s="111"/>
      <c r="BP3" s="111"/>
      <c r="BQ3" s="111"/>
      <c r="BR3" s="111"/>
      <c r="BS3" s="111"/>
      <c r="BT3" s="111"/>
    </row>
    <row r="4" spans="2:74" x14ac:dyDescent="0.3">
      <c r="D4" s="79"/>
    </row>
    <row r="5" spans="2:74" x14ac:dyDescent="0.3">
      <c r="B5" s="2"/>
      <c r="C5" s="3"/>
      <c r="D5" s="2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2"/>
      <c r="BV5" s="2"/>
    </row>
    <row r="6" spans="2:74" x14ac:dyDescent="0.3">
      <c r="B6" s="2"/>
      <c r="C6" s="3"/>
      <c r="D6" s="41" t="s">
        <v>49</v>
      </c>
      <c r="E6" s="42">
        <f>COUNTIFS(F13:AJ13,"&gt;1",F13:AJ13,"&lt;7")</f>
        <v>22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2"/>
      <c r="BV6" s="2"/>
    </row>
    <row r="7" spans="2:74" x14ac:dyDescent="0.3">
      <c r="B7" s="2"/>
      <c r="C7" s="1"/>
      <c r="D7" s="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2"/>
      <c r="BV7" s="2"/>
    </row>
    <row r="8" spans="2:74" ht="25.8" x14ac:dyDescent="0.5">
      <c r="B8" s="2"/>
      <c r="C8" s="102"/>
      <c r="D8" s="39" t="s">
        <v>50</v>
      </c>
      <c r="E8" s="39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2"/>
      <c r="BV8" s="2"/>
    </row>
    <row r="9" spans="2:74" x14ac:dyDescent="0.3">
      <c r="B9" s="2"/>
      <c r="C9" s="3"/>
      <c r="D9" s="40" t="s">
        <v>92</v>
      </c>
      <c r="E9" s="1">
        <v>2021</v>
      </c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2"/>
      <c r="BV9" s="2"/>
    </row>
    <row r="10" spans="2:74" x14ac:dyDescent="0.3">
      <c r="B10" s="2"/>
      <c r="C10" s="3"/>
      <c r="D10" s="2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2"/>
      <c r="BV10" s="2"/>
    </row>
    <row r="11" spans="2:74" ht="13.8" customHeight="1" x14ac:dyDescent="0.3">
      <c r="B11" s="2"/>
      <c r="C11" s="120" t="s">
        <v>1</v>
      </c>
      <c r="D11" s="120" t="s">
        <v>2</v>
      </c>
      <c r="E11" s="120" t="s">
        <v>6</v>
      </c>
      <c r="F11" s="120" t="s">
        <v>51</v>
      </c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/>
      <c r="AK11" s="119" t="s">
        <v>54</v>
      </c>
      <c r="AL11" s="120" t="s">
        <v>52</v>
      </c>
      <c r="AM11" s="120"/>
      <c r="AN11" s="120"/>
      <c r="AO11" s="120"/>
      <c r="AP11" s="120"/>
      <c r="AQ11" s="120"/>
      <c r="AR11" s="120"/>
      <c r="AS11" s="120"/>
      <c r="AT11" s="120"/>
      <c r="AU11" s="120"/>
      <c r="AV11" s="120"/>
      <c r="AW11" s="120"/>
      <c r="AX11" s="120"/>
      <c r="AY11" s="120"/>
      <c r="AZ11" s="120"/>
      <c r="BA11" s="120"/>
      <c r="BB11" s="120"/>
      <c r="BC11" s="120"/>
      <c r="BD11" s="120"/>
      <c r="BE11" s="120"/>
      <c r="BF11" s="120"/>
      <c r="BG11" s="120"/>
      <c r="BH11" s="120"/>
      <c r="BI11" s="120"/>
      <c r="BJ11" s="120"/>
      <c r="BK11" s="120"/>
      <c r="BL11" s="120"/>
      <c r="BM11" s="120"/>
      <c r="BN11" s="120"/>
      <c r="BO11" s="120"/>
      <c r="BP11" s="120"/>
      <c r="BQ11" s="119" t="s">
        <v>112</v>
      </c>
      <c r="BR11" s="122" t="s">
        <v>113</v>
      </c>
      <c r="BS11" s="122" t="s">
        <v>114</v>
      </c>
      <c r="BT11" s="119" t="s">
        <v>53</v>
      </c>
      <c r="BU11" s="120" t="s">
        <v>8</v>
      </c>
      <c r="BV11" s="2"/>
    </row>
    <row r="12" spans="2:74" x14ac:dyDescent="0.3">
      <c r="B12" s="2"/>
      <c r="C12" s="120"/>
      <c r="D12" s="120"/>
      <c r="E12" s="120"/>
      <c r="F12" s="18">
        <v>1</v>
      </c>
      <c r="G12" s="18">
        <v>2</v>
      </c>
      <c r="H12" s="18">
        <v>3</v>
      </c>
      <c r="I12" s="18">
        <v>4</v>
      </c>
      <c r="J12" s="18">
        <v>5</v>
      </c>
      <c r="K12" s="18">
        <v>6</v>
      </c>
      <c r="L12" s="18">
        <v>7</v>
      </c>
      <c r="M12" s="18">
        <v>8</v>
      </c>
      <c r="N12" s="18">
        <v>9</v>
      </c>
      <c r="O12" s="18">
        <v>10</v>
      </c>
      <c r="P12" s="18">
        <v>11</v>
      </c>
      <c r="Q12" s="18">
        <v>12</v>
      </c>
      <c r="R12" s="18">
        <v>13</v>
      </c>
      <c r="S12" s="18">
        <v>14</v>
      </c>
      <c r="T12" s="18">
        <v>15</v>
      </c>
      <c r="U12" s="18">
        <v>16</v>
      </c>
      <c r="V12" s="18">
        <v>17</v>
      </c>
      <c r="W12" s="18">
        <v>18</v>
      </c>
      <c r="X12" s="18">
        <v>19</v>
      </c>
      <c r="Y12" s="18">
        <v>20</v>
      </c>
      <c r="Z12" s="18">
        <v>21</v>
      </c>
      <c r="AA12" s="18">
        <v>22</v>
      </c>
      <c r="AB12" s="18">
        <v>23</v>
      </c>
      <c r="AC12" s="18">
        <v>24</v>
      </c>
      <c r="AD12" s="18">
        <v>25</v>
      </c>
      <c r="AE12" s="18">
        <v>26</v>
      </c>
      <c r="AF12" s="18">
        <v>27</v>
      </c>
      <c r="AG12" s="18">
        <v>28</v>
      </c>
      <c r="AH12" s="18">
        <v>29</v>
      </c>
      <c r="AI12" s="18">
        <v>30</v>
      </c>
      <c r="AJ12" s="18"/>
      <c r="AK12" s="119"/>
      <c r="AL12" s="18">
        <v>1</v>
      </c>
      <c r="AM12" s="18">
        <v>2</v>
      </c>
      <c r="AN12" s="18">
        <v>3</v>
      </c>
      <c r="AO12" s="18">
        <v>4</v>
      </c>
      <c r="AP12" s="18">
        <v>5</v>
      </c>
      <c r="AQ12" s="18">
        <v>6</v>
      </c>
      <c r="AR12" s="18">
        <v>7</v>
      </c>
      <c r="AS12" s="18">
        <v>8</v>
      </c>
      <c r="AT12" s="18">
        <v>9</v>
      </c>
      <c r="AU12" s="18">
        <v>10</v>
      </c>
      <c r="AV12" s="18">
        <v>11</v>
      </c>
      <c r="AW12" s="18">
        <v>12</v>
      </c>
      <c r="AX12" s="18">
        <v>13</v>
      </c>
      <c r="AY12" s="18">
        <v>14</v>
      </c>
      <c r="AZ12" s="18">
        <v>15</v>
      </c>
      <c r="BA12" s="18">
        <v>16</v>
      </c>
      <c r="BB12" s="18">
        <v>17</v>
      </c>
      <c r="BC12" s="18">
        <v>18</v>
      </c>
      <c r="BD12" s="18">
        <v>19</v>
      </c>
      <c r="BE12" s="18">
        <v>20</v>
      </c>
      <c r="BF12" s="18">
        <v>21</v>
      </c>
      <c r="BG12" s="18">
        <v>22</v>
      </c>
      <c r="BH12" s="18">
        <v>23</v>
      </c>
      <c r="BI12" s="18">
        <v>24</v>
      </c>
      <c r="BJ12" s="18">
        <v>25</v>
      </c>
      <c r="BK12" s="18">
        <v>26</v>
      </c>
      <c r="BL12" s="18">
        <v>27</v>
      </c>
      <c r="BM12" s="18">
        <v>28</v>
      </c>
      <c r="BN12" s="18">
        <v>29</v>
      </c>
      <c r="BO12" s="18">
        <v>30</v>
      </c>
      <c r="BP12" s="18"/>
      <c r="BQ12" s="119"/>
      <c r="BR12" s="123"/>
      <c r="BS12" s="123"/>
      <c r="BT12" s="119"/>
      <c r="BU12" s="120"/>
      <c r="BV12" s="2"/>
    </row>
    <row r="13" spans="2:74" ht="25.8" x14ac:dyDescent="0.3">
      <c r="B13" s="2"/>
      <c r="C13" s="120"/>
      <c r="D13" s="120"/>
      <c r="E13" s="120"/>
      <c r="F13" s="38">
        <f>WEEKDAY($D$1+F12)</f>
        <v>3</v>
      </c>
      <c r="G13" s="38">
        <f t="shared" ref="G13:AI13" si="0">WEEKDAY($D$1+G12)</f>
        <v>4</v>
      </c>
      <c r="H13" s="38">
        <f t="shared" si="0"/>
        <v>5</v>
      </c>
      <c r="I13" s="38">
        <f t="shared" si="0"/>
        <v>6</v>
      </c>
      <c r="J13" s="38">
        <f t="shared" si="0"/>
        <v>7</v>
      </c>
      <c r="K13" s="38">
        <f t="shared" si="0"/>
        <v>1</v>
      </c>
      <c r="L13" s="38">
        <f t="shared" si="0"/>
        <v>2</v>
      </c>
      <c r="M13" s="38">
        <f t="shared" si="0"/>
        <v>3</v>
      </c>
      <c r="N13" s="38">
        <f t="shared" si="0"/>
        <v>4</v>
      </c>
      <c r="O13" s="38">
        <f t="shared" si="0"/>
        <v>5</v>
      </c>
      <c r="P13" s="38">
        <f t="shared" si="0"/>
        <v>6</v>
      </c>
      <c r="Q13" s="38">
        <f t="shared" si="0"/>
        <v>7</v>
      </c>
      <c r="R13" s="38">
        <f t="shared" si="0"/>
        <v>1</v>
      </c>
      <c r="S13" s="38">
        <f t="shared" si="0"/>
        <v>2</v>
      </c>
      <c r="T13" s="38">
        <f t="shared" si="0"/>
        <v>3</v>
      </c>
      <c r="U13" s="38">
        <f t="shared" si="0"/>
        <v>4</v>
      </c>
      <c r="V13" s="38">
        <f t="shared" si="0"/>
        <v>5</v>
      </c>
      <c r="W13" s="38">
        <f t="shared" si="0"/>
        <v>6</v>
      </c>
      <c r="X13" s="38">
        <f t="shared" si="0"/>
        <v>7</v>
      </c>
      <c r="Y13" s="38">
        <f t="shared" si="0"/>
        <v>1</v>
      </c>
      <c r="Z13" s="38">
        <f t="shared" si="0"/>
        <v>2</v>
      </c>
      <c r="AA13" s="38">
        <f t="shared" si="0"/>
        <v>3</v>
      </c>
      <c r="AB13" s="38">
        <f t="shared" si="0"/>
        <v>4</v>
      </c>
      <c r="AC13" s="38">
        <f t="shared" si="0"/>
        <v>5</v>
      </c>
      <c r="AD13" s="38">
        <f t="shared" si="0"/>
        <v>6</v>
      </c>
      <c r="AE13" s="38">
        <f t="shared" si="0"/>
        <v>7</v>
      </c>
      <c r="AF13" s="38">
        <f t="shared" si="0"/>
        <v>1</v>
      </c>
      <c r="AG13" s="38">
        <f t="shared" si="0"/>
        <v>2</v>
      </c>
      <c r="AH13" s="38">
        <f t="shared" si="0"/>
        <v>3</v>
      </c>
      <c r="AI13" s="38">
        <f t="shared" si="0"/>
        <v>4</v>
      </c>
      <c r="AJ13" s="38"/>
      <c r="AK13" s="119"/>
      <c r="AL13" s="38">
        <f>WEEKDAY($D$1+AL12)</f>
        <v>3</v>
      </c>
      <c r="AM13" s="38">
        <f t="shared" ref="AM13:BO13" si="1">WEEKDAY($D$1+AM12)</f>
        <v>4</v>
      </c>
      <c r="AN13" s="38">
        <f t="shared" si="1"/>
        <v>5</v>
      </c>
      <c r="AO13" s="38">
        <f t="shared" si="1"/>
        <v>6</v>
      </c>
      <c r="AP13" s="38">
        <f t="shared" si="1"/>
        <v>7</v>
      </c>
      <c r="AQ13" s="38">
        <f t="shared" si="1"/>
        <v>1</v>
      </c>
      <c r="AR13" s="38">
        <f t="shared" si="1"/>
        <v>2</v>
      </c>
      <c r="AS13" s="38">
        <f t="shared" si="1"/>
        <v>3</v>
      </c>
      <c r="AT13" s="38">
        <f t="shared" si="1"/>
        <v>4</v>
      </c>
      <c r="AU13" s="38">
        <f t="shared" si="1"/>
        <v>5</v>
      </c>
      <c r="AV13" s="38">
        <f t="shared" si="1"/>
        <v>6</v>
      </c>
      <c r="AW13" s="38">
        <f t="shared" si="1"/>
        <v>7</v>
      </c>
      <c r="AX13" s="38">
        <f t="shared" si="1"/>
        <v>1</v>
      </c>
      <c r="AY13" s="38">
        <f t="shared" si="1"/>
        <v>2</v>
      </c>
      <c r="AZ13" s="38">
        <f t="shared" si="1"/>
        <v>3</v>
      </c>
      <c r="BA13" s="38">
        <f t="shared" si="1"/>
        <v>4</v>
      </c>
      <c r="BB13" s="38">
        <f t="shared" si="1"/>
        <v>5</v>
      </c>
      <c r="BC13" s="38">
        <f t="shared" si="1"/>
        <v>6</v>
      </c>
      <c r="BD13" s="38">
        <f t="shared" si="1"/>
        <v>7</v>
      </c>
      <c r="BE13" s="38">
        <f t="shared" si="1"/>
        <v>1</v>
      </c>
      <c r="BF13" s="38">
        <f t="shared" si="1"/>
        <v>2</v>
      </c>
      <c r="BG13" s="38">
        <f t="shared" si="1"/>
        <v>3</v>
      </c>
      <c r="BH13" s="38">
        <f t="shared" si="1"/>
        <v>4</v>
      </c>
      <c r="BI13" s="38">
        <f t="shared" si="1"/>
        <v>5</v>
      </c>
      <c r="BJ13" s="38">
        <f t="shared" si="1"/>
        <v>6</v>
      </c>
      <c r="BK13" s="38">
        <f t="shared" si="1"/>
        <v>7</v>
      </c>
      <c r="BL13" s="38">
        <f t="shared" si="1"/>
        <v>1</v>
      </c>
      <c r="BM13" s="38">
        <f t="shared" si="1"/>
        <v>2</v>
      </c>
      <c r="BN13" s="38">
        <f t="shared" si="1"/>
        <v>3</v>
      </c>
      <c r="BO13" s="38">
        <f t="shared" si="1"/>
        <v>4</v>
      </c>
      <c r="BP13" s="38"/>
      <c r="BQ13" s="119"/>
      <c r="BR13" s="124"/>
      <c r="BS13" s="124"/>
      <c r="BT13" s="119"/>
      <c r="BU13" s="120"/>
      <c r="BV13" s="2"/>
    </row>
    <row r="14" spans="2:74" x14ac:dyDescent="0.3">
      <c r="B14" s="2"/>
      <c r="C14" s="4">
        <v>1</v>
      </c>
      <c r="D14" s="5" t="str">
        <f>IF(VLOOKUP(C14,DSNV!$C$8:$N$48,3,FALSE)=0,"",VLOOKUP(C14,DSNV!$C$8:$N$48,3,FALSE))</f>
        <v>Nguyễn Võ Như Bình</v>
      </c>
      <c r="E14" s="4" t="str">
        <f>IF(VLOOKUP(C14,DSNV!$C$8:$N$48,8,FALSE)="","",VLOOKUP(C14,DSNV!$C$8:$N$48,8,FALSE))</f>
        <v>Thành viên</v>
      </c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>
        <f>SUM(F14:AJ14)</f>
        <v>0</v>
      </c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>
        <f>SUM(AL14:BP14)</f>
        <v>0</v>
      </c>
      <c r="BR14" s="4"/>
      <c r="BS14" s="4"/>
      <c r="BT14" s="45">
        <f>SUM(AK14,BQ14:BS14)</f>
        <v>0</v>
      </c>
      <c r="BU14" s="5"/>
      <c r="BV14" s="2"/>
    </row>
    <row r="15" spans="2:74" x14ac:dyDescent="0.3">
      <c r="B15" s="2"/>
      <c r="C15" s="6">
        <v>2</v>
      </c>
      <c r="D15" s="5" t="str">
        <f>IF(VLOOKUP(C15,DSNV!$C$8:$N$48,3,FALSE)=0,"",VLOOKUP(C15,DSNV!$C$8:$N$48,3,FALSE))</f>
        <v>Võ Khánh Đoan</v>
      </c>
      <c r="E15" s="4" t="str">
        <f>IF(VLOOKUP(C15,DSNV!$C$8:$N$48,8,FALSE)="","",VLOOKUP(C15,DSNV!$C$8:$N$48,8,FALSE))</f>
        <v>Thành viên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4">
        <f t="shared" ref="AK15:AK53" si="2">SUM(F15:AJ15)</f>
        <v>0</v>
      </c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4">
        <f t="shared" ref="BQ15:BQ53" si="3">SUM(AL15:BP15)</f>
        <v>0</v>
      </c>
      <c r="BR15" s="4"/>
      <c r="BS15" s="4"/>
      <c r="BT15" s="45">
        <f t="shared" ref="BT15:BT53" si="4">SUM(AK15,BQ15:BS15)</f>
        <v>0</v>
      </c>
      <c r="BU15" s="7"/>
      <c r="BV15" s="2"/>
    </row>
    <row r="16" spans="2:74" x14ac:dyDescent="0.3">
      <c r="B16" s="2"/>
      <c r="C16" s="6">
        <v>3</v>
      </c>
      <c r="D16" s="5" t="str">
        <f>IF(VLOOKUP(C16,DSNV!$C$8:$N$48,3,FALSE)=0,"",VLOOKUP(C16,DSNV!$C$8:$N$48,3,FALSE))</f>
        <v>Nguyễn Thu Hà</v>
      </c>
      <c r="E16" s="4" t="str">
        <f>IF(VLOOKUP(C16,DSNV!$C$8:$N$48,8,FALSE)="","",VLOOKUP(C16,DSNV!$C$8:$N$48,8,FALSE))</f>
        <v>Thành viên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4">
        <f t="shared" si="2"/>
        <v>0</v>
      </c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4">
        <f t="shared" si="3"/>
        <v>0</v>
      </c>
      <c r="BR16" s="4"/>
      <c r="BS16" s="4"/>
      <c r="BT16" s="45">
        <f t="shared" si="4"/>
        <v>0</v>
      </c>
      <c r="BU16" s="7"/>
      <c r="BV16" s="2"/>
    </row>
    <row r="17" spans="2:74" x14ac:dyDescent="0.3">
      <c r="B17" s="2"/>
      <c r="C17" s="6">
        <v>4</v>
      </c>
      <c r="D17" s="5" t="str">
        <f>IF(VLOOKUP(C17,DSNV!$C$8:$N$48,3,FALSE)=0,"",VLOOKUP(C17,DSNV!$C$8:$N$48,3,FALSE))</f>
        <v>Trương Thị Phú Hiệp</v>
      </c>
      <c r="E17" s="4" t="str">
        <f>IF(VLOOKUP(C17,DSNV!$C$8:$N$48,8,FALSE)="","",VLOOKUP(C17,DSNV!$C$8:$N$48,8,FALSE))</f>
        <v>Thành viên</v>
      </c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4">
        <f t="shared" si="2"/>
        <v>0</v>
      </c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4">
        <f t="shared" si="3"/>
        <v>0</v>
      </c>
      <c r="BR17" s="4"/>
      <c r="BS17" s="4"/>
      <c r="BT17" s="45">
        <f t="shared" si="4"/>
        <v>0</v>
      </c>
      <c r="BU17" s="7"/>
      <c r="BV17" s="2"/>
    </row>
    <row r="18" spans="2:74" x14ac:dyDescent="0.3">
      <c r="B18" s="2"/>
      <c r="C18" s="6">
        <v>5</v>
      </c>
      <c r="D18" s="5" t="str">
        <f>IF(VLOOKUP(C18,DSNV!$C$8:$N$48,3,FALSE)=0,"",VLOOKUP(C18,DSNV!$C$8:$N$48,3,FALSE))</f>
        <v>Nguyễn Thị Bích Hồng</v>
      </c>
      <c r="E18" s="4" t="str">
        <f>IF(VLOOKUP(C18,DSNV!$C$8:$N$48,8,FALSE)="","",VLOOKUP(C18,DSNV!$C$8:$N$48,8,FALSE))</f>
        <v>Thành viên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4">
        <f t="shared" si="2"/>
        <v>0</v>
      </c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4">
        <f t="shared" si="3"/>
        <v>0</v>
      </c>
      <c r="BR18" s="4"/>
      <c r="BS18" s="4"/>
      <c r="BT18" s="45">
        <f t="shared" si="4"/>
        <v>0</v>
      </c>
      <c r="BU18" s="7"/>
      <c r="BV18" s="2"/>
    </row>
    <row r="19" spans="2:74" x14ac:dyDescent="0.3">
      <c r="B19" s="2"/>
      <c r="C19" s="6">
        <v>6</v>
      </c>
      <c r="D19" s="5" t="str">
        <f>IF(VLOOKUP(C19,DSNV!$C$8:$N$48,3,FALSE)=0,"",VLOOKUP(C19,DSNV!$C$8:$N$48,3,FALSE))</f>
        <v>Phạm Thị Ngọc Hồng</v>
      </c>
      <c r="E19" s="4" t="str">
        <f>IF(VLOOKUP(C19,DSNV!$C$8:$N$48,8,FALSE)="","",VLOOKUP(C19,DSNV!$C$8:$N$48,8,FALSE))</f>
        <v>Thành viên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4">
        <f t="shared" si="2"/>
        <v>0</v>
      </c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4">
        <f t="shared" si="3"/>
        <v>0</v>
      </c>
      <c r="BR19" s="4">
        <f>BQ19/2</f>
        <v>0</v>
      </c>
      <c r="BS19" s="4"/>
      <c r="BT19" s="45">
        <f t="shared" si="4"/>
        <v>0</v>
      </c>
      <c r="BU19" s="7"/>
      <c r="BV19" s="2"/>
    </row>
    <row r="20" spans="2:74" x14ac:dyDescent="0.3">
      <c r="B20" s="2"/>
      <c r="C20" s="6">
        <v>7</v>
      </c>
      <c r="D20" s="5" t="str">
        <f>IF(VLOOKUP(C20,DSNV!$C$8:$N$48,3,FALSE)=0,"",VLOOKUP(C20,DSNV!$C$8:$N$48,3,FALSE))</f>
        <v>Phạm Thị Huệ</v>
      </c>
      <c r="E20" s="4" t="str">
        <f>IF(VLOOKUP(C20,DSNV!$C$8:$N$48,8,FALSE)="","",VLOOKUP(C20,DSNV!$C$8:$N$48,8,FALSE))</f>
        <v>Trưởng ban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4">
        <f t="shared" si="2"/>
        <v>0</v>
      </c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4">
        <f t="shared" si="3"/>
        <v>0</v>
      </c>
      <c r="BR20" s="4">
        <f t="shared" ref="BR20:BR21" si="5">BQ20/2</f>
        <v>0</v>
      </c>
      <c r="BS20" s="4"/>
      <c r="BT20" s="45">
        <f t="shared" si="4"/>
        <v>0</v>
      </c>
      <c r="BU20" s="7" t="s">
        <v>166</v>
      </c>
      <c r="BV20" s="2"/>
    </row>
    <row r="21" spans="2:74" x14ac:dyDescent="0.3">
      <c r="B21" s="2"/>
      <c r="C21" s="6">
        <v>8</v>
      </c>
      <c r="D21" s="5" t="str">
        <f>IF(VLOOKUP(C21,DSNV!$C$8:$N$48,3,FALSE)=0,"",VLOOKUP(C21,DSNV!$C$8:$N$48,3,FALSE))</f>
        <v>Nguyễn Thị Quỳnh Hương</v>
      </c>
      <c r="E21" s="4" t="str">
        <f>IF(VLOOKUP(C21,DSNV!$C$8:$N$48,8,FALSE)="","",VLOOKUP(C21,DSNV!$C$8:$N$48,8,FALSE))</f>
        <v>Trưởng ban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4">
        <f t="shared" si="2"/>
        <v>0</v>
      </c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4">
        <f t="shared" si="3"/>
        <v>0</v>
      </c>
      <c r="BR21" s="4">
        <f t="shared" si="5"/>
        <v>0</v>
      </c>
      <c r="BS21" s="4"/>
      <c r="BT21" s="45">
        <f t="shared" si="4"/>
        <v>0</v>
      </c>
      <c r="BU21" s="7"/>
      <c r="BV21" s="2"/>
    </row>
    <row r="22" spans="2:74" x14ac:dyDescent="0.3">
      <c r="B22" s="2"/>
      <c r="C22" s="6">
        <v>9</v>
      </c>
      <c r="D22" s="5" t="str">
        <f>IF(VLOOKUP(C22,DSNV!$C$8:$N$48,3,FALSE)=0,"",VLOOKUP(C22,DSNV!$C$8:$N$48,3,FALSE))</f>
        <v>Huỳnh Thanh Huyên</v>
      </c>
      <c r="E22" s="4" t="str">
        <f>IF(VLOOKUP(C22,DSNV!$C$8:$N$48,8,FALSE)="","",VLOOKUP(C22,DSNV!$C$8:$N$48,8,FALSE))</f>
        <v>Thành viên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4">
        <f t="shared" si="2"/>
        <v>0</v>
      </c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4">
        <f t="shared" si="3"/>
        <v>0</v>
      </c>
      <c r="BR22" s="4"/>
      <c r="BS22" s="4"/>
      <c r="BT22" s="45">
        <f t="shared" si="4"/>
        <v>0</v>
      </c>
      <c r="BU22" s="7"/>
      <c r="BV22" s="2"/>
    </row>
    <row r="23" spans="2:74" x14ac:dyDescent="0.3">
      <c r="B23" s="2"/>
      <c r="C23" s="6">
        <v>10</v>
      </c>
      <c r="D23" s="5" t="str">
        <f>IF(VLOOKUP(C23,DSNV!$C$8:$N$48,3,FALSE)=0,"",VLOOKUP(C23,DSNV!$C$8:$N$48,3,FALSE))</f>
        <v>Lê Hữu Di Mi</v>
      </c>
      <c r="E23" s="4" t="str">
        <f>IF(VLOOKUP(C23,DSNV!$C$8:$N$48,8,FALSE)="","",VLOOKUP(C23,DSNV!$C$8:$N$48,8,FALSE))</f>
        <v>Thành viên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4">
        <f t="shared" si="2"/>
        <v>0</v>
      </c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4">
        <f t="shared" si="3"/>
        <v>0</v>
      </c>
      <c r="BR23" s="4"/>
      <c r="BS23" s="4"/>
      <c r="BT23" s="45">
        <f t="shared" si="4"/>
        <v>0</v>
      </c>
      <c r="BU23" s="7"/>
      <c r="BV23" s="2"/>
    </row>
    <row r="24" spans="2:74" x14ac:dyDescent="0.3">
      <c r="B24" s="2"/>
      <c r="C24" s="6">
        <v>11</v>
      </c>
      <c r="D24" s="5" t="str">
        <f>IF(VLOOKUP(C24,DSNV!$C$8:$N$48,3,FALSE)=0,"",VLOOKUP(C24,DSNV!$C$8:$N$48,3,FALSE))</f>
        <v>Nguyễn Nhựt Minh</v>
      </c>
      <c r="E24" s="4" t="str">
        <f>IF(VLOOKUP(C24,DSNV!$C$8:$N$48,8,FALSE)="","",VLOOKUP(C24,DSNV!$C$8:$N$48,8,FALSE))</f>
        <v>Trưởng ban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4">
        <f t="shared" si="2"/>
        <v>0</v>
      </c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4">
        <f t="shared" si="3"/>
        <v>0</v>
      </c>
      <c r="BR24" s="4">
        <f>BQ24/2</f>
        <v>0</v>
      </c>
      <c r="BS24" s="4"/>
      <c r="BT24" s="45">
        <f t="shared" si="4"/>
        <v>0</v>
      </c>
      <c r="BU24" s="7"/>
      <c r="BV24" s="2"/>
    </row>
    <row r="25" spans="2:74" x14ac:dyDescent="0.3">
      <c r="B25" s="2"/>
      <c r="C25" s="6">
        <v>12</v>
      </c>
      <c r="D25" s="5" t="str">
        <f>IF(VLOOKUP(C25,DSNV!$C$8:$N$48,3,FALSE)=0,"",VLOOKUP(C25,DSNV!$C$8:$N$48,3,FALSE))</f>
        <v>Lê Thảo Nguyên</v>
      </c>
      <c r="E25" s="4" t="str">
        <f>IF(VLOOKUP(C25,DSNV!$C$8:$N$48,8,FALSE)="","",VLOOKUP(C25,DSNV!$C$8:$N$48,8,FALSE))</f>
        <v>Thành viên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4">
        <f t="shared" si="2"/>
        <v>0</v>
      </c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4">
        <f t="shared" si="3"/>
        <v>0</v>
      </c>
      <c r="BR25" s="4">
        <f>BQ25/2</f>
        <v>0</v>
      </c>
      <c r="BS25" s="4"/>
      <c r="BT25" s="45">
        <f t="shared" si="4"/>
        <v>0</v>
      </c>
      <c r="BU25" s="7"/>
      <c r="BV25" s="2"/>
    </row>
    <row r="26" spans="2:74" x14ac:dyDescent="0.3">
      <c r="B26" s="2"/>
      <c r="C26" s="6">
        <v>13</v>
      </c>
      <c r="D26" s="5" t="str">
        <f>IF(VLOOKUP(C26,DSNV!$C$8:$N$48,3,FALSE)=0,"",VLOOKUP(C26,DSNV!$C$8:$N$48,3,FALSE))</f>
        <v>Võ Thị Xuân Nữ</v>
      </c>
      <c r="E26" s="4" t="str">
        <f>IF(VLOOKUP(C26,DSNV!$C$8:$N$48,8,FALSE)="","",VLOOKUP(C26,DSNV!$C$8:$N$48,8,FALSE))</f>
        <v>Thành viên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4">
        <f t="shared" si="2"/>
        <v>0</v>
      </c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4">
        <f t="shared" si="3"/>
        <v>0</v>
      </c>
      <c r="BR26" s="4"/>
      <c r="BS26" s="4"/>
      <c r="BT26" s="45">
        <f t="shared" si="4"/>
        <v>0</v>
      </c>
      <c r="BU26" s="7"/>
      <c r="BV26" s="2"/>
    </row>
    <row r="27" spans="2:74" x14ac:dyDescent="0.3">
      <c r="B27" s="2"/>
      <c r="C27" s="6">
        <v>14</v>
      </c>
      <c r="D27" s="5" t="str">
        <f>IF(VLOOKUP(C27,DSNV!$C$8:$N$48,3,FALSE)=0,"",VLOOKUP(C27,DSNV!$C$8:$N$48,3,FALSE))</f>
        <v>Đỗ Thị Lan Phương</v>
      </c>
      <c r="E27" s="4" t="str">
        <f>IF(VLOOKUP(C27,DSNV!$C$8:$N$48,8,FALSE)="","",VLOOKUP(C27,DSNV!$C$8:$N$48,8,FALSE))</f>
        <v>Thành viên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4">
        <f t="shared" si="2"/>
        <v>0</v>
      </c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4">
        <f t="shared" si="3"/>
        <v>0</v>
      </c>
      <c r="BR27" s="4"/>
      <c r="BS27" s="4"/>
      <c r="BT27" s="45">
        <f t="shared" si="4"/>
        <v>0</v>
      </c>
      <c r="BU27" s="7"/>
      <c r="BV27" s="2"/>
    </row>
    <row r="28" spans="2:74" x14ac:dyDescent="0.3">
      <c r="B28" s="2"/>
      <c r="C28" s="6">
        <v>15</v>
      </c>
      <c r="D28" s="5" t="str">
        <f>IF(VLOOKUP(C28,DSNV!$C$8:$N$48,3,FALSE)=0,"",VLOOKUP(C28,DSNV!$C$8:$N$48,3,FALSE))</f>
        <v>Nguyễn Thị Nhã Quyên</v>
      </c>
      <c r="E28" s="4" t="str">
        <f>IF(VLOOKUP(C28,DSNV!$C$8:$N$48,8,FALSE)="","",VLOOKUP(C28,DSNV!$C$8:$N$48,8,FALSE))</f>
        <v>Thành viên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4">
        <f t="shared" si="2"/>
        <v>0</v>
      </c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4">
        <f t="shared" si="3"/>
        <v>0</v>
      </c>
      <c r="BR28" s="4">
        <f t="shared" ref="BR28:BR33" si="6">BQ28/2</f>
        <v>0</v>
      </c>
      <c r="BS28" s="4"/>
      <c r="BT28" s="45">
        <f t="shared" si="4"/>
        <v>0</v>
      </c>
      <c r="BU28" s="7"/>
      <c r="BV28" s="2"/>
    </row>
    <row r="29" spans="2:74" x14ac:dyDescent="0.3">
      <c r="B29" s="2"/>
      <c r="C29" s="6">
        <v>16</v>
      </c>
      <c r="D29" s="5" t="str">
        <f>IF(VLOOKUP(C29,DSNV!$C$8:$N$48,3,FALSE)=0,"",VLOOKUP(C29,DSNV!$C$8:$N$48,3,FALSE))</f>
        <v>Nguyễn Đức Vĩnh Thắng</v>
      </c>
      <c r="E29" s="4" t="str">
        <f>IF(VLOOKUP(C29,DSNV!$C$8:$N$48,8,FALSE)="","",VLOOKUP(C29,DSNV!$C$8:$N$48,8,FALSE))</f>
        <v>Trưởng ban</v>
      </c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4">
        <f t="shared" si="2"/>
        <v>0</v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4">
        <f t="shared" si="3"/>
        <v>0</v>
      </c>
      <c r="BR29" s="4">
        <f t="shared" si="6"/>
        <v>0</v>
      </c>
      <c r="BS29" s="4"/>
      <c r="BT29" s="45">
        <f t="shared" si="4"/>
        <v>0</v>
      </c>
      <c r="BU29" s="7"/>
      <c r="BV29" s="2"/>
    </row>
    <row r="30" spans="2:74" x14ac:dyDescent="0.3">
      <c r="B30" s="2"/>
      <c r="C30" s="6">
        <v>17</v>
      </c>
      <c r="D30" s="5" t="str">
        <f>IF(VLOOKUP(C30,DSNV!$C$8:$N$48,3,FALSE)=0,"",VLOOKUP(C30,DSNV!$C$8:$N$48,3,FALSE))</f>
        <v>Nguyễn Thành Tiến</v>
      </c>
      <c r="E30" s="4" t="str">
        <f>IF(VLOOKUP(C30,DSNV!$C$8:$N$48,8,FALSE)="","",VLOOKUP(C30,DSNV!$C$8:$N$48,8,FALSE))</f>
        <v>Thành viên</v>
      </c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4">
        <f t="shared" si="2"/>
        <v>0</v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4">
        <f t="shared" si="3"/>
        <v>0</v>
      </c>
      <c r="BR30" s="4">
        <f t="shared" si="6"/>
        <v>0</v>
      </c>
      <c r="BS30" s="4"/>
      <c r="BT30" s="45">
        <f t="shared" si="4"/>
        <v>0</v>
      </c>
      <c r="BU30" s="7"/>
      <c r="BV30" s="2"/>
    </row>
    <row r="31" spans="2:74" x14ac:dyDescent="0.3">
      <c r="B31" s="2"/>
      <c r="C31" s="6">
        <v>18</v>
      </c>
      <c r="D31" s="5" t="str">
        <f>IF(VLOOKUP(C31,DSNV!$C$8:$N$48,3,FALSE)=0,"",VLOOKUP(C31,DSNV!$C$8:$N$48,3,FALSE))</f>
        <v>Trần Thị Trúc</v>
      </c>
      <c r="E31" s="4" t="str">
        <f>IF(VLOOKUP(C31,DSNV!$C$8:$N$48,8,FALSE)="","",VLOOKUP(C31,DSNV!$C$8:$N$48,8,FALSE))</f>
        <v>Thành viên</v>
      </c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4">
        <f t="shared" si="2"/>
        <v>0</v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4">
        <f t="shared" si="3"/>
        <v>0</v>
      </c>
      <c r="BR31" s="4">
        <f t="shared" si="6"/>
        <v>0</v>
      </c>
      <c r="BS31" s="4"/>
      <c r="BT31" s="45">
        <f t="shared" si="4"/>
        <v>0</v>
      </c>
      <c r="BU31" s="7"/>
      <c r="BV31" s="2"/>
    </row>
    <row r="32" spans="2:74" x14ac:dyDescent="0.3">
      <c r="B32" s="2"/>
      <c r="C32" s="6">
        <v>19</v>
      </c>
      <c r="D32" s="5" t="str">
        <f>IF(VLOOKUP(C32,DSNV!$C$8:$N$48,3,FALSE)=0,"",VLOOKUP(C32,DSNV!$C$8:$N$48,3,FALSE))</f>
        <v>Bùi Hoàng Trung</v>
      </c>
      <c r="E32" s="4" t="str">
        <f>IF(VLOOKUP(C32,DSNV!$C$8:$N$48,8,FALSE)="","",VLOOKUP(C32,DSNV!$C$8:$N$48,8,FALSE))</f>
        <v>Thành viên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4">
        <f t="shared" si="2"/>
        <v>0</v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4">
        <f t="shared" si="3"/>
        <v>0</v>
      </c>
      <c r="BR32" s="4">
        <f t="shared" si="6"/>
        <v>0</v>
      </c>
      <c r="BS32" s="4"/>
      <c r="BT32" s="45">
        <f t="shared" si="4"/>
        <v>0</v>
      </c>
      <c r="BU32" s="7"/>
      <c r="BV32" s="2"/>
    </row>
    <row r="33" spans="2:74" ht="15" thickBot="1" x14ac:dyDescent="0.35">
      <c r="B33" s="2"/>
      <c r="C33" s="6">
        <v>20</v>
      </c>
      <c r="D33" s="5" t="str">
        <f>IF(VLOOKUP(C33,DSNV!$C$8:$N$48,3,FALSE)=0,"",VLOOKUP(C33,DSNV!$C$8:$N$48,3,FALSE))</f>
        <v>Ngô Trúc Tường Vy</v>
      </c>
      <c r="E33" s="4" t="str">
        <f>IF(VLOOKUP(C33,DSNV!$C$8:$N$48,8,FALSE)="","",VLOOKUP(C33,DSNV!$C$8:$N$48,8,FALSE))</f>
        <v>Trưởng ban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4">
        <f t="shared" si="2"/>
        <v>0</v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4">
        <f t="shared" si="3"/>
        <v>0</v>
      </c>
      <c r="BR33" s="4">
        <f t="shared" si="6"/>
        <v>0</v>
      </c>
      <c r="BS33" s="4"/>
      <c r="BT33" s="45">
        <f t="shared" si="4"/>
        <v>0</v>
      </c>
      <c r="BU33" s="7"/>
      <c r="BV33" s="2"/>
    </row>
    <row r="34" spans="2:74" ht="15" hidden="1" thickBot="1" x14ac:dyDescent="0.35">
      <c r="B34" s="2"/>
      <c r="C34" s="6">
        <v>21</v>
      </c>
      <c r="D34" s="5" t="str">
        <f>IF(VLOOKUP(C34,DSNV!$C$8:$N$48,3,FALSE)=0,"",VLOOKUP(C34,DSNV!$C$8:$N$48,3,FALSE))</f>
        <v/>
      </c>
      <c r="E34" s="4" t="str">
        <f>IF(VLOOKUP(C34,DSNV!$C$8:$N$48,8,FALSE)="","",VLOOKUP(C34,DSNV!$C$8:$N$48,8,FALSE))</f>
        <v/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4">
        <f t="shared" si="2"/>
        <v>0</v>
      </c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4">
        <f t="shared" si="3"/>
        <v>0</v>
      </c>
      <c r="BR34" s="4"/>
      <c r="BS34" s="4"/>
      <c r="BT34" s="45">
        <f t="shared" si="4"/>
        <v>0</v>
      </c>
      <c r="BU34" s="7"/>
      <c r="BV34" s="2"/>
    </row>
    <row r="35" spans="2:74" ht="15" hidden="1" thickBot="1" x14ac:dyDescent="0.35">
      <c r="B35" s="2"/>
      <c r="C35" s="6">
        <v>22</v>
      </c>
      <c r="D35" s="5" t="str">
        <f>IF(VLOOKUP(C35,DSNV!$C$8:$N$48,3,FALSE)=0,"",VLOOKUP(C35,DSNV!$C$8:$N$48,3,FALSE))</f>
        <v/>
      </c>
      <c r="E35" s="4" t="str">
        <f>IF(VLOOKUP(C35,DSNV!$C$8:$N$48,8,FALSE)="","",VLOOKUP(C35,DSNV!$C$8:$N$48,8,FALSE))</f>
        <v/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4">
        <f t="shared" si="2"/>
        <v>0</v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4">
        <f t="shared" si="3"/>
        <v>0</v>
      </c>
      <c r="BR35" s="4"/>
      <c r="BS35" s="4"/>
      <c r="BT35" s="45">
        <f t="shared" si="4"/>
        <v>0</v>
      </c>
      <c r="BU35" s="7"/>
      <c r="BV35" s="2"/>
    </row>
    <row r="36" spans="2:74" ht="15" hidden="1" thickBot="1" x14ac:dyDescent="0.35">
      <c r="B36" s="2"/>
      <c r="C36" s="6">
        <v>23</v>
      </c>
      <c r="D36" s="5" t="str">
        <f>IF(VLOOKUP(C36,DSNV!$C$8:$N$48,3,FALSE)=0,"",VLOOKUP(C36,DSNV!$C$8:$N$48,3,FALSE))</f>
        <v/>
      </c>
      <c r="E36" s="4" t="str">
        <f>IF(VLOOKUP(C36,DSNV!$C$8:$N$48,8,FALSE)="","",VLOOKUP(C36,DSNV!$C$8:$N$48,8,FALSE))</f>
        <v/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4">
        <f t="shared" si="2"/>
        <v>0</v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4">
        <f t="shared" si="3"/>
        <v>0</v>
      </c>
      <c r="BR36" s="4"/>
      <c r="BS36" s="4"/>
      <c r="BT36" s="45">
        <f t="shared" si="4"/>
        <v>0</v>
      </c>
      <c r="BU36" s="7"/>
      <c r="BV36" s="2"/>
    </row>
    <row r="37" spans="2:74" ht="15" hidden="1" thickBot="1" x14ac:dyDescent="0.35">
      <c r="B37" s="2"/>
      <c r="C37" s="6">
        <v>24</v>
      </c>
      <c r="D37" s="5" t="str">
        <f>IF(VLOOKUP(C37,DSNV!$C$8:$N$48,3,FALSE)=0,"",VLOOKUP(C37,DSNV!$C$8:$N$48,3,FALSE))</f>
        <v/>
      </c>
      <c r="E37" s="4" t="str">
        <f>IF(VLOOKUP(C37,DSNV!$C$8:$N$48,8,FALSE)="","",VLOOKUP(C37,DSNV!$C$8:$N$48,8,FALSE))</f>
        <v/>
      </c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4">
        <f t="shared" si="2"/>
        <v>0</v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4">
        <f t="shared" si="3"/>
        <v>0</v>
      </c>
      <c r="BR37" s="4"/>
      <c r="BS37" s="4"/>
      <c r="BT37" s="45">
        <f t="shared" si="4"/>
        <v>0</v>
      </c>
      <c r="BU37" s="7"/>
      <c r="BV37" s="2"/>
    </row>
    <row r="38" spans="2:74" ht="15" hidden="1" thickBot="1" x14ac:dyDescent="0.35">
      <c r="B38" s="2"/>
      <c r="C38" s="6">
        <v>25</v>
      </c>
      <c r="D38" s="5" t="str">
        <f>IF(VLOOKUP(C38,DSNV!$C$8:$N$48,3,FALSE)=0,"",VLOOKUP(C38,DSNV!$C$8:$N$48,3,FALSE))</f>
        <v/>
      </c>
      <c r="E38" s="4" t="str">
        <f>IF(VLOOKUP(C38,DSNV!$C$8:$N$48,8,FALSE)="","",VLOOKUP(C38,DSNV!$C$8:$N$48,8,FALSE))</f>
        <v/>
      </c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4">
        <f t="shared" si="2"/>
        <v>0</v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4">
        <f t="shared" si="3"/>
        <v>0</v>
      </c>
      <c r="BR38" s="4"/>
      <c r="BS38" s="4"/>
      <c r="BT38" s="45">
        <f t="shared" si="4"/>
        <v>0</v>
      </c>
      <c r="BU38" s="7"/>
      <c r="BV38" s="2"/>
    </row>
    <row r="39" spans="2:74" ht="15" hidden="1" thickBot="1" x14ac:dyDescent="0.35">
      <c r="B39" s="2"/>
      <c r="C39" s="6">
        <v>26</v>
      </c>
      <c r="D39" s="5" t="str">
        <f>IF(VLOOKUP(C39,DSNV!$C$8:$N$48,3,FALSE)=0,"",VLOOKUP(C39,DSNV!$C$8:$N$48,3,FALSE))</f>
        <v/>
      </c>
      <c r="E39" s="4" t="str">
        <f>IF(VLOOKUP(C39,DSNV!$C$8:$N$48,8,FALSE)="","",VLOOKUP(C39,DSNV!$C$8:$N$48,8,FALSE))</f>
        <v/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4">
        <f t="shared" si="2"/>
        <v>0</v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4">
        <f t="shared" si="3"/>
        <v>0</v>
      </c>
      <c r="BR39" s="4"/>
      <c r="BS39" s="4"/>
      <c r="BT39" s="45">
        <f t="shared" si="4"/>
        <v>0</v>
      </c>
      <c r="BU39" s="7"/>
      <c r="BV39" s="2"/>
    </row>
    <row r="40" spans="2:74" ht="15" hidden="1" thickBot="1" x14ac:dyDescent="0.35">
      <c r="B40" s="2"/>
      <c r="C40" s="6">
        <v>27</v>
      </c>
      <c r="D40" s="5" t="str">
        <f>IF(VLOOKUP(C40,DSNV!$C$8:$N$48,3,FALSE)=0,"",VLOOKUP(C40,DSNV!$C$8:$N$48,3,FALSE))</f>
        <v/>
      </c>
      <c r="E40" s="4" t="str">
        <f>IF(VLOOKUP(C40,DSNV!$C$8:$N$48,8,FALSE)="","",VLOOKUP(C40,DSNV!$C$8:$N$48,8,FALSE))</f>
        <v/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4">
        <f t="shared" si="2"/>
        <v>0</v>
      </c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4">
        <f t="shared" si="3"/>
        <v>0</v>
      </c>
      <c r="BR40" s="4"/>
      <c r="BS40" s="4"/>
      <c r="BT40" s="45">
        <f t="shared" si="4"/>
        <v>0</v>
      </c>
      <c r="BU40" s="7"/>
      <c r="BV40" s="2"/>
    </row>
    <row r="41" spans="2:74" ht="15" hidden="1" thickBot="1" x14ac:dyDescent="0.35">
      <c r="B41" s="2"/>
      <c r="C41" s="6">
        <v>28</v>
      </c>
      <c r="D41" s="5" t="str">
        <f>IF(VLOOKUP(C41,DSNV!$C$8:$N$48,3,FALSE)=0,"",VLOOKUP(C41,DSNV!$C$8:$N$48,3,FALSE))</f>
        <v/>
      </c>
      <c r="E41" s="4" t="str">
        <f>IF(VLOOKUP(C41,DSNV!$C$8:$N$48,8,FALSE)="","",VLOOKUP(C41,DSNV!$C$8:$N$48,8,FALSE))</f>
        <v/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4">
        <f t="shared" si="2"/>
        <v>0</v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4">
        <f t="shared" si="3"/>
        <v>0</v>
      </c>
      <c r="BR41" s="4"/>
      <c r="BS41" s="4"/>
      <c r="BT41" s="45">
        <f t="shared" si="4"/>
        <v>0</v>
      </c>
      <c r="BU41" s="7"/>
      <c r="BV41" s="2"/>
    </row>
    <row r="42" spans="2:74" ht="15" hidden="1" thickBot="1" x14ac:dyDescent="0.35">
      <c r="B42" s="2"/>
      <c r="C42" s="6">
        <v>29</v>
      </c>
      <c r="D42" s="5" t="str">
        <f>IF(VLOOKUP(C42,DSNV!$C$8:$N$48,3,FALSE)=0,"",VLOOKUP(C42,DSNV!$C$8:$N$48,3,FALSE))</f>
        <v/>
      </c>
      <c r="E42" s="4" t="str">
        <f>IF(VLOOKUP(C42,DSNV!$C$8:$N$48,8,FALSE)="","",VLOOKUP(C42,DSNV!$C$8:$N$48,8,FALSE))</f>
        <v/>
      </c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4">
        <f t="shared" si="2"/>
        <v>0</v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4">
        <f t="shared" si="3"/>
        <v>0</v>
      </c>
      <c r="BR42" s="4"/>
      <c r="BS42" s="4"/>
      <c r="BT42" s="45">
        <f t="shared" si="4"/>
        <v>0</v>
      </c>
      <c r="BU42" s="7"/>
      <c r="BV42" s="2"/>
    </row>
    <row r="43" spans="2:74" ht="15" hidden="1" thickBot="1" x14ac:dyDescent="0.35">
      <c r="B43" s="2"/>
      <c r="C43" s="6">
        <v>30</v>
      </c>
      <c r="D43" s="5" t="str">
        <f>IF(VLOOKUP(C43,DSNV!$C$8:$N$48,3,FALSE)=0,"",VLOOKUP(C43,DSNV!$C$8:$N$48,3,FALSE))</f>
        <v/>
      </c>
      <c r="E43" s="4" t="str">
        <f>IF(VLOOKUP(C43,DSNV!$C$8:$N$48,8,FALSE)="","",VLOOKUP(C43,DSNV!$C$8:$N$48,8,FALSE))</f>
        <v/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4">
        <f t="shared" si="2"/>
        <v>0</v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4">
        <f t="shared" si="3"/>
        <v>0</v>
      </c>
      <c r="BR43" s="4"/>
      <c r="BS43" s="4"/>
      <c r="BT43" s="45">
        <f t="shared" si="4"/>
        <v>0</v>
      </c>
      <c r="BU43" s="7"/>
      <c r="BV43" s="2"/>
    </row>
    <row r="44" spans="2:74" ht="15" hidden="1" thickBot="1" x14ac:dyDescent="0.35">
      <c r="B44" s="2"/>
      <c r="C44" s="6">
        <v>31</v>
      </c>
      <c r="D44" s="5" t="str">
        <f>IF(VLOOKUP(C44,DSNV!$C$8:$N$48,3,FALSE)=0,"",VLOOKUP(C44,DSNV!$C$8:$N$48,3,FALSE))</f>
        <v/>
      </c>
      <c r="E44" s="4" t="str">
        <f>IF(VLOOKUP(C44,DSNV!$C$8:$N$48,8,FALSE)="","",VLOOKUP(C44,DSNV!$C$8:$N$48,8,FALSE))</f>
        <v/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4">
        <f t="shared" si="2"/>
        <v>0</v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4">
        <f t="shared" si="3"/>
        <v>0</v>
      </c>
      <c r="BR44" s="4"/>
      <c r="BS44" s="4"/>
      <c r="BT44" s="45">
        <f t="shared" si="4"/>
        <v>0</v>
      </c>
      <c r="BU44" s="7"/>
      <c r="BV44" s="2"/>
    </row>
    <row r="45" spans="2:74" ht="15" hidden="1" thickBot="1" x14ac:dyDescent="0.35">
      <c r="B45" s="2"/>
      <c r="C45" s="6">
        <v>32</v>
      </c>
      <c r="D45" s="5" t="str">
        <f>IF(VLOOKUP(C45,DSNV!$C$8:$N$48,3,FALSE)=0,"",VLOOKUP(C45,DSNV!$C$8:$N$48,3,FALSE))</f>
        <v/>
      </c>
      <c r="E45" s="4" t="str">
        <f>IF(VLOOKUP(C45,DSNV!$C$8:$N$48,8,FALSE)="","",VLOOKUP(C45,DSNV!$C$8:$N$48,8,FALSE))</f>
        <v/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4">
        <f t="shared" si="2"/>
        <v>0</v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4">
        <f t="shared" si="3"/>
        <v>0</v>
      </c>
      <c r="BR45" s="4"/>
      <c r="BS45" s="4"/>
      <c r="BT45" s="45">
        <f t="shared" si="4"/>
        <v>0</v>
      </c>
      <c r="BU45" s="7"/>
      <c r="BV45" s="2"/>
    </row>
    <row r="46" spans="2:74" ht="15" hidden="1" thickBot="1" x14ac:dyDescent="0.35">
      <c r="B46" s="2"/>
      <c r="C46" s="6">
        <v>33</v>
      </c>
      <c r="D46" s="5" t="str">
        <f>IF(VLOOKUP(C46,DSNV!$C$8:$N$48,3,FALSE)=0,"",VLOOKUP(C46,DSNV!$C$8:$N$48,3,FALSE))</f>
        <v/>
      </c>
      <c r="E46" s="4" t="str">
        <f>IF(VLOOKUP(C46,DSNV!$C$8:$N$48,8,FALSE)="","",VLOOKUP(C46,DSNV!$C$8:$N$48,8,FALSE))</f>
        <v/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4">
        <f t="shared" si="2"/>
        <v>0</v>
      </c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4">
        <f t="shared" si="3"/>
        <v>0</v>
      </c>
      <c r="BR46" s="4"/>
      <c r="BS46" s="4"/>
      <c r="BT46" s="45">
        <f t="shared" si="4"/>
        <v>0</v>
      </c>
      <c r="BU46" s="7"/>
      <c r="BV46" s="2"/>
    </row>
    <row r="47" spans="2:74" ht="15" hidden="1" thickBot="1" x14ac:dyDescent="0.35">
      <c r="B47" s="2"/>
      <c r="C47" s="6">
        <v>34</v>
      </c>
      <c r="D47" s="5" t="str">
        <f>IF(VLOOKUP(C47,DSNV!$C$8:$N$48,3,FALSE)=0,"",VLOOKUP(C47,DSNV!$C$8:$N$48,3,FALSE))</f>
        <v/>
      </c>
      <c r="E47" s="4" t="str">
        <f>IF(VLOOKUP(C47,DSNV!$C$8:$N$48,8,FALSE)="","",VLOOKUP(C47,DSNV!$C$8:$N$48,8,FALSE))</f>
        <v/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4">
        <f t="shared" si="2"/>
        <v>0</v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4">
        <f t="shared" si="3"/>
        <v>0</v>
      </c>
      <c r="BR47" s="4"/>
      <c r="BS47" s="4"/>
      <c r="BT47" s="45">
        <f t="shared" si="4"/>
        <v>0</v>
      </c>
      <c r="BU47" s="7"/>
      <c r="BV47" s="2"/>
    </row>
    <row r="48" spans="2:74" ht="15" hidden="1" thickBot="1" x14ac:dyDescent="0.35">
      <c r="B48" s="2"/>
      <c r="C48" s="6">
        <v>35</v>
      </c>
      <c r="D48" s="5" t="str">
        <f>IF(VLOOKUP(C48,DSNV!$C$8:$N$48,3,FALSE)=0,"",VLOOKUP(C48,DSNV!$C$8:$N$48,3,FALSE))</f>
        <v/>
      </c>
      <c r="E48" s="4" t="str">
        <f>IF(VLOOKUP(C48,DSNV!$C$8:$N$48,8,FALSE)="","",VLOOKUP(C48,DSNV!$C$8:$N$48,8,FALSE))</f>
        <v/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4">
        <f t="shared" si="2"/>
        <v>0</v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4">
        <f t="shared" si="3"/>
        <v>0</v>
      </c>
      <c r="BR48" s="4"/>
      <c r="BS48" s="4"/>
      <c r="BT48" s="45">
        <f t="shared" si="4"/>
        <v>0</v>
      </c>
      <c r="BU48" s="7"/>
      <c r="BV48" s="2"/>
    </row>
    <row r="49" spans="2:74" ht="15" hidden="1" thickBot="1" x14ac:dyDescent="0.35">
      <c r="B49" s="2"/>
      <c r="C49" s="6">
        <v>36</v>
      </c>
      <c r="D49" s="5" t="str">
        <f>IF(VLOOKUP(C49,DSNV!$C$8:$N$48,3,FALSE)=0,"",VLOOKUP(C49,DSNV!$C$8:$N$48,3,FALSE))</f>
        <v/>
      </c>
      <c r="E49" s="4" t="str">
        <f>IF(VLOOKUP(C49,DSNV!$C$8:$N$48,8,FALSE)="","",VLOOKUP(C49,DSNV!$C$8:$N$48,8,FALSE))</f>
        <v/>
      </c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4">
        <f t="shared" si="2"/>
        <v>0</v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4">
        <f t="shared" si="3"/>
        <v>0</v>
      </c>
      <c r="BR49" s="4"/>
      <c r="BS49" s="4"/>
      <c r="BT49" s="45">
        <f t="shared" si="4"/>
        <v>0</v>
      </c>
      <c r="BU49" s="7"/>
      <c r="BV49" s="2"/>
    </row>
    <row r="50" spans="2:74" ht="15" hidden="1" thickBot="1" x14ac:dyDescent="0.35">
      <c r="B50" s="2"/>
      <c r="C50" s="6">
        <v>37</v>
      </c>
      <c r="D50" s="5" t="str">
        <f>IF(VLOOKUP(C50,DSNV!$C$8:$N$48,3,FALSE)=0,"",VLOOKUP(C50,DSNV!$C$8:$N$48,3,FALSE))</f>
        <v/>
      </c>
      <c r="E50" s="4" t="str">
        <f>IF(VLOOKUP(C50,DSNV!$C$8:$N$48,8,FALSE)="","",VLOOKUP(C50,DSNV!$C$8:$N$48,8,FALSE))</f>
        <v/>
      </c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4">
        <f t="shared" si="2"/>
        <v>0</v>
      </c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4">
        <f t="shared" si="3"/>
        <v>0</v>
      </c>
      <c r="BR50" s="4"/>
      <c r="BS50" s="4"/>
      <c r="BT50" s="45">
        <f t="shared" si="4"/>
        <v>0</v>
      </c>
      <c r="BU50" s="7"/>
      <c r="BV50" s="2"/>
    </row>
    <row r="51" spans="2:74" ht="15" hidden="1" thickBot="1" x14ac:dyDescent="0.35">
      <c r="B51" s="2"/>
      <c r="C51" s="6">
        <v>38</v>
      </c>
      <c r="D51" s="5" t="str">
        <f>IF(VLOOKUP(C51,DSNV!$C$8:$N$48,3,FALSE)=0,"",VLOOKUP(C51,DSNV!$C$8:$N$48,3,FALSE))</f>
        <v/>
      </c>
      <c r="E51" s="4" t="str">
        <f>IF(VLOOKUP(C51,DSNV!$C$8:$N$48,8,FALSE)="","",VLOOKUP(C51,DSNV!$C$8:$N$48,8,FALSE))</f>
        <v/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4">
        <f t="shared" si="2"/>
        <v>0</v>
      </c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4">
        <f t="shared" si="3"/>
        <v>0</v>
      </c>
      <c r="BR51" s="4"/>
      <c r="BS51" s="4"/>
      <c r="BT51" s="45">
        <f t="shared" si="4"/>
        <v>0</v>
      </c>
      <c r="BU51" s="7"/>
      <c r="BV51" s="2"/>
    </row>
    <row r="52" spans="2:74" ht="15" hidden="1" thickBot="1" x14ac:dyDescent="0.35">
      <c r="B52" s="2"/>
      <c r="C52" s="6">
        <v>39</v>
      </c>
      <c r="D52" s="5" t="str">
        <f>IF(VLOOKUP(C52,DSNV!$C$8:$N$48,3,FALSE)=0,"",VLOOKUP(C52,DSNV!$C$8:$N$48,3,FALSE))</f>
        <v/>
      </c>
      <c r="E52" s="4" t="str">
        <f>IF(VLOOKUP(C52,DSNV!$C$8:$N$48,8,FALSE)="","",VLOOKUP(C52,DSNV!$C$8:$N$48,8,FALSE))</f>
        <v/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4">
        <f t="shared" si="2"/>
        <v>0</v>
      </c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4">
        <f t="shared" si="3"/>
        <v>0</v>
      </c>
      <c r="BR52" s="4"/>
      <c r="BS52" s="4"/>
      <c r="BT52" s="45">
        <f t="shared" si="4"/>
        <v>0</v>
      </c>
      <c r="BU52" s="7"/>
      <c r="BV52" s="2"/>
    </row>
    <row r="53" spans="2:74" ht="15" hidden="1" thickBot="1" x14ac:dyDescent="0.35">
      <c r="B53" s="2"/>
      <c r="C53" s="14">
        <v>40</v>
      </c>
      <c r="D53" s="5" t="str">
        <f>IF(VLOOKUP(C53,DSNV!$C$8:$N$48,3,FALSE)=0,"",VLOOKUP(C53,DSNV!$C$8:$N$48,3,FALSE))</f>
        <v/>
      </c>
      <c r="E53" s="4" t="str">
        <f>IF(VLOOKUP(C53,DSNV!$C$8:$N$48,8,FALSE)="","",VLOOKUP(C53,DSNV!$C$8:$N$48,8,FALSE))</f>
        <v/>
      </c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4">
        <f t="shared" si="2"/>
        <v>0</v>
      </c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4">
        <f t="shared" si="3"/>
        <v>0</v>
      </c>
      <c r="BR53" s="4"/>
      <c r="BS53" s="4"/>
      <c r="BT53" s="45">
        <f t="shared" si="4"/>
        <v>0</v>
      </c>
      <c r="BU53" s="15"/>
      <c r="BV53" s="2"/>
    </row>
    <row r="54" spans="2:74" ht="15" thickBot="1" x14ac:dyDescent="0.35">
      <c r="B54" s="2"/>
      <c r="C54" s="121" t="s">
        <v>53</v>
      </c>
      <c r="D54" s="121"/>
      <c r="E54" s="121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37">
        <f>SUM(AK14:AK53)</f>
        <v>0</v>
      </c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37">
        <f>SUM(BQ14:BQ53)</f>
        <v>0</v>
      </c>
      <c r="BR54" s="37">
        <f t="shared" ref="BR54:BS54" si="7">SUM(BR14:BR53)</f>
        <v>0</v>
      </c>
      <c r="BS54" s="37">
        <f t="shared" si="7"/>
        <v>0</v>
      </c>
      <c r="BT54" s="37">
        <f>SUM(BT14:BT53)</f>
        <v>0</v>
      </c>
      <c r="BU54" s="17"/>
      <c r="BV54" s="2"/>
    </row>
    <row r="55" spans="2:74" x14ac:dyDescent="0.3">
      <c r="B55" s="2"/>
      <c r="C55" s="3"/>
      <c r="D55" s="2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2"/>
      <c r="BV55" s="2"/>
    </row>
    <row r="56" spans="2:74" x14ac:dyDescent="0.3">
      <c r="B56" s="2"/>
      <c r="C56" s="3"/>
      <c r="D56" s="2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2"/>
      <c r="BV56" s="2"/>
    </row>
    <row r="57" spans="2:74" x14ac:dyDescent="0.3"/>
    <row r="58" spans="2:74" x14ac:dyDescent="0.3"/>
    <row r="59" spans="2:74" x14ac:dyDescent="0.3"/>
  </sheetData>
  <autoFilter ref="C11:BU54" xr:uid="{5B728C7B-9475-4B02-8B4D-6C91ABA364A6}"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</autoFilter>
  <mergeCells count="12">
    <mergeCell ref="BQ11:BQ13"/>
    <mergeCell ref="BT11:BT13"/>
    <mergeCell ref="BU11:BU13"/>
    <mergeCell ref="C54:E54"/>
    <mergeCell ref="BR11:BR13"/>
    <mergeCell ref="BS11:BS13"/>
    <mergeCell ref="C11:C13"/>
    <mergeCell ref="D11:D13"/>
    <mergeCell ref="E11:E13"/>
    <mergeCell ref="F11:AJ11"/>
    <mergeCell ref="AK11:AK13"/>
    <mergeCell ref="AL11:BP11"/>
  </mergeCells>
  <conditionalFormatting sqref="F12:AJ54 AL12:BP54">
    <cfRule type="expression" dxfId="18" priority="3">
      <formula>OR(WEEKDAY($D$1+F$12)=1,WEEKDAY($D$1+F$12)=7)</formula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18C30-B58C-4703-A5C5-B1211E3D17A7}">
  <sheetPr codeName="Sheet11"/>
  <dimension ref="A1:BX59"/>
  <sheetViews>
    <sheetView showGridLines="0" showRowColHeaders="0" workbookViewId="0">
      <pane xSplit="5" ySplit="13" topLeftCell="F14" activePane="bottomRight" state="frozen"/>
      <selection pane="topRight" activeCell="F1" sqref="F1"/>
      <selection pane="bottomLeft" activeCell="A14" sqref="A14"/>
      <selection pane="bottomRight"/>
    </sheetView>
  </sheetViews>
  <sheetFormatPr defaultColWidth="0" defaultRowHeight="14.4" zeroHeight="1" x14ac:dyDescent="0.3"/>
  <cols>
    <col min="1" max="1" width="8.88671875" style="2" customWidth="1"/>
    <col min="2" max="2" width="3.33203125" style="2" customWidth="1"/>
    <col min="3" max="3" width="5.21875" style="3" customWidth="1"/>
    <col min="4" max="4" width="23" style="2" bestFit="1" customWidth="1"/>
    <col min="5" max="5" width="12" style="3" customWidth="1"/>
    <col min="6" max="36" width="3.44140625" style="3" bestFit="1" customWidth="1"/>
    <col min="37" max="37" width="6.77734375" style="3" customWidth="1"/>
    <col min="38" max="68" width="3.44140625" style="3" bestFit="1" customWidth="1"/>
    <col min="69" max="72" width="6.77734375" style="3" customWidth="1"/>
    <col min="73" max="73" width="9.88671875" style="2" customWidth="1"/>
    <col min="74" max="74" width="3.33203125" style="2" customWidth="1"/>
    <col min="75" max="75" width="8.88671875" style="2" customWidth="1"/>
    <col min="76" max="76" width="8.88671875" style="2" hidden="1" customWidth="1"/>
    <col min="77" max="16384" width="8.88671875" style="2" hidden="1"/>
  </cols>
  <sheetData>
    <row r="1" spans="1:76" s="104" customFormat="1" x14ac:dyDescent="0.3">
      <c r="C1" s="105"/>
      <c r="D1" s="106">
        <f>D2-1</f>
        <v>44377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</row>
    <row r="2" spans="1:76" s="104" customFormat="1" x14ac:dyDescent="0.3">
      <c r="C2" s="105"/>
      <c r="D2" s="107" t="str">
        <f>"01/07/"&amp;E9</f>
        <v>01/07/2021</v>
      </c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105"/>
      <c r="BP2" s="105"/>
      <c r="BQ2" s="105"/>
      <c r="BR2" s="105"/>
      <c r="BS2" s="105"/>
      <c r="BT2" s="105"/>
    </row>
    <row r="3" spans="1:76" s="110" customFormat="1" x14ac:dyDescent="0.3">
      <c r="C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1"/>
      <c r="AU3" s="111"/>
      <c r="AV3" s="111"/>
      <c r="AW3" s="111"/>
      <c r="AX3" s="111"/>
      <c r="AY3" s="111"/>
      <c r="AZ3" s="111"/>
      <c r="BA3" s="111"/>
      <c r="BB3" s="111"/>
      <c r="BC3" s="111"/>
      <c r="BD3" s="111"/>
      <c r="BE3" s="111"/>
      <c r="BF3" s="111"/>
      <c r="BG3" s="111"/>
      <c r="BH3" s="111"/>
      <c r="BI3" s="111"/>
      <c r="BJ3" s="111"/>
      <c r="BK3" s="111"/>
      <c r="BL3" s="111"/>
      <c r="BM3" s="111"/>
      <c r="BN3" s="111"/>
      <c r="BO3" s="111"/>
      <c r="BP3" s="111"/>
      <c r="BQ3" s="111"/>
      <c r="BR3" s="111"/>
      <c r="BS3" s="111"/>
      <c r="BT3" s="111"/>
    </row>
    <row r="4" spans="1:76" x14ac:dyDescent="0.3">
      <c r="A4" s="78"/>
      <c r="B4" s="78"/>
      <c r="C4" s="77"/>
      <c r="D4" s="79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  <c r="BC4" s="77"/>
      <c r="BD4" s="77"/>
      <c r="BE4" s="77"/>
      <c r="BF4" s="77"/>
      <c r="BG4" s="77"/>
      <c r="BH4" s="77"/>
      <c r="BI4" s="77"/>
      <c r="BJ4" s="77"/>
      <c r="BK4" s="77"/>
      <c r="BL4" s="77"/>
      <c r="BM4" s="77"/>
      <c r="BN4" s="77"/>
      <c r="BO4" s="77"/>
      <c r="BP4" s="77"/>
      <c r="BQ4" s="77"/>
      <c r="BR4" s="77"/>
      <c r="BS4" s="77"/>
      <c r="BT4" s="77"/>
      <c r="BU4" s="78"/>
      <c r="BV4" s="78"/>
      <c r="BW4" s="78"/>
      <c r="BX4" s="78"/>
    </row>
    <row r="5" spans="1:76" x14ac:dyDescent="0.3">
      <c r="A5" s="78"/>
      <c r="BW5" s="78"/>
      <c r="BX5" s="78"/>
    </row>
    <row r="6" spans="1:76" x14ac:dyDescent="0.3">
      <c r="A6" s="78"/>
      <c r="D6" s="41" t="s">
        <v>49</v>
      </c>
      <c r="E6" s="42">
        <f>COUNTIFS(F13:AJ13,"&gt;1",F13:AJ13,"&lt;7")</f>
        <v>22</v>
      </c>
      <c r="BW6" s="78"/>
      <c r="BX6" s="78"/>
    </row>
    <row r="7" spans="1:76" x14ac:dyDescent="0.3">
      <c r="A7" s="78"/>
      <c r="C7" s="1"/>
      <c r="D7" s="1"/>
      <c r="BW7" s="78"/>
      <c r="BX7" s="78"/>
    </row>
    <row r="8" spans="1:76" ht="25.8" x14ac:dyDescent="0.5">
      <c r="A8" s="78"/>
      <c r="D8" s="39" t="s">
        <v>50</v>
      </c>
      <c r="E8" s="39"/>
      <c r="BW8" s="78"/>
      <c r="BX8" s="78"/>
    </row>
    <row r="9" spans="1:76" x14ac:dyDescent="0.3">
      <c r="A9" s="78"/>
      <c r="D9" s="40" t="s">
        <v>93</v>
      </c>
      <c r="E9" s="1">
        <v>2021</v>
      </c>
      <c r="BW9" s="78"/>
      <c r="BX9" s="78"/>
    </row>
    <row r="10" spans="1:76" x14ac:dyDescent="0.3">
      <c r="A10" s="78"/>
      <c r="BW10" s="78"/>
      <c r="BX10" s="78"/>
    </row>
    <row r="11" spans="1:76" ht="13.8" customHeight="1" x14ac:dyDescent="0.3">
      <c r="A11" s="78"/>
      <c r="C11" s="120" t="s">
        <v>1</v>
      </c>
      <c r="D11" s="120" t="s">
        <v>2</v>
      </c>
      <c r="E11" s="120" t="s">
        <v>6</v>
      </c>
      <c r="F11" s="120" t="s">
        <v>51</v>
      </c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/>
      <c r="AK11" s="119" t="s">
        <v>54</v>
      </c>
      <c r="AL11" s="120" t="s">
        <v>52</v>
      </c>
      <c r="AM11" s="120"/>
      <c r="AN11" s="120"/>
      <c r="AO11" s="120"/>
      <c r="AP11" s="120"/>
      <c r="AQ11" s="120"/>
      <c r="AR11" s="120"/>
      <c r="AS11" s="120"/>
      <c r="AT11" s="120"/>
      <c r="AU11" s="120"/>
      <c r="AV11" s="120"/>
      <c r="AW11" s="120"/>
      <c r="AX11" s="120"/>
      <c r="AY11" s="120"/>
      <c r="AZ11" s="120"/>
      <c r="BA11" s="120"/>
      <c r="BB11" s="120"/>
      <c r="BC11" s="120"/>
      <c r="BD11" s="120"/>
      <c r="BE11" s="120"/>
      <c r="BF11" s="120"/>
      <c r="BG11" s="120"/>
      <c r="BH11" s="120"/>
      <c r="BI11" s="120"/>
      <c r="BJ11" s="120"/>
      <c r="BK11" s="120"/>
      <c r="BL11" s="120"/>
      <c r="BM11" s="120"/>
      <c r="BN11" s="120"/>
      <c r="BO11" s="120"/>
      <c r="BP11" s="120"/>
      <c r="BQ11" s="119" t="s">
        <v>112</v>
      </c>
      <c r="BR11" s="122" t="s">
        <v>113</v>
      </c>
      <c r="BS11" s="122" t="s">
        <v>114</v>
      </c>
      <c r="BT11" s="119" t="s">
        <v>53</v>
      </c>
      <c r="BU11" s="120" t="s">
        <v>8</v>
      </c>
      <c r="BW11" s="78"/>
      <c r="BX11" s="78"/>
    </row>
    <row r="12" spans="1:76" x14ac:dyDescent="0.3">
      <c r="A12" s="78"/>
      <c r="C12" s="120"/>
      <c r="D12" s="120"/>
      <c r="E12" s="120"/>
      <c r="F12" s="18">
        <v>1</v>
      </c>
      <c r="G12" s="18">
        <v>2</v>
      </c>
      <c r="H12" s="18">
        <v>3</v>
      </c>
      <c r="I12" s="18">
        <v>4</v>
      </c>
      <c r="J12" s="18">
        <v>5</v>
      </c>
      <c r="K12" s="18">
        <v>6</v>
      </c>
      <c r="L12" s="18">
        <v>7</v>
      </c>
      <c r="M12" s="18">
        <v>8</v>
      </c>
      <c r="N12" s="18">
        <v>9</v>
      </c>
      <c r="O12" s="18">
        <v>10</v>
      </c>
      <c r="P12" s="18">
        <v>11</v>
      </c>
      <c r="Q12" s="18">
        <v>12</v>
      </c>
      <c r="R12" s="18">
        <v>13</v>
      </c>
      <c r="S12" s="18">
        <v>14</v>
      </c>
      <c r="T12" s="18">
        <v>15</v>
      </c>
      <c r="U12" s="18">
        <v>16</v>
      </c>
      <c r="V12" s="18">
        <v>17</v>
      </c>
      <c r="W12" s="18">
        <v>18</v>
      </c>
      <c r="X12" s="18">
        <v>19</v>
      </c>
      <c r="Y12" s="18">
        <v>20</v>
      </c>
      <c r="Z12" s="18">
        <v>21</v>
      </c>
      <c r="AA12" s="18">
        <v>22</v>
      </c>
      <c r="AB12" s="18">
        <v>23</v>
      </c>
      <c r="AC12" s="18">
        <v>24</v>
      </c>
      <c r="AD12" s="18">
        <v>25</v>
      </c>
      <c r="AE12" s="18">
        <v>26</v>
      </c>
      <c r="AF12" s="18">
        <v>27</v>
      </c>
      <c r="AG12" s="18">
        <v>28</v>
      </c>
      <c r="AH12" s="18">
        <v>29</v>
      </c>
      <c r="AI12" s="18">
        <v>30</v>
      </c>
      <c r="AJ12" s="18">
        <v>31</v>
      </c>
      <c r="AK12" s="119"/>
      <c r="AL12" s="18">
        <v>1</v>
      </c>
      <c r="AM12" s="18">
        <v>2</v>
      </c>
      <c r="AN12" s="18">
        <v>3</v>
      </c>
      <c r="AO12" s="18">
        <v>4</v>
      </c>
      <c r="AP12" s="18">
        <v>5</v>
      </c>
      <c r="AQ12" s="18">
        <v>6</v>
      </c>
      <c r="AR12" s="18">
        <v>7</v>
      </c>
      <c r="AS12" s="18">
        <v>8</v>
      </c>
      <c r="AT12" s="18">
        <v>9</v>
      </c>
      <c r="AU12" s="18">
        <v>10</v>
      </c>
      <c r="AV12" s="18">
        <v>11</v>
      </c>
      <c r="AW12" s="18">
        <v>12</v>
      </c>
      <c r="AX12" s="18">
        <v>13</v>
      </c>
      <c r="AY12" s="18">
        <v>14</v>
      </c>
      <c r="AZ12" s="18">
        <v>15</v>
      </c>
      <c r="BA12" s="18">
        <v>16</v>
      </c>
      <c r="BB12" s="18">
        <v>17</v>
      </c>
      <c r="BC12" s="18">
        <v>18</v>
      </c>
      <c r="BD12" s="18">
        <v>19</v>
      </c>
      <c r="BE12" s="18">
        <v>20</v>
      </c>
      <c r="BF12" s="18">
        <v>21</v>
      </c>
      <c r="BG12" s="18">
        <v>22</v>
      </c>
      <c r="BH12" s="18">
        <v>23</v>
      </c>
      <c r="BI12" s="18">
        <v>24</v>
      </c>
      <c r="BJ12" s="18">
        <v>25</v>
      </c>
      <c r="BK12" s="18">
        <v>26</v>
      </c>
      <c r="BL12" s="18">
        <v>27</v>
      </c>
      <c r="BM12" s="18">
        <v>28</v>
      </c>
      <c r="BN12" s="18">
        <v>29</v>
      </c>
      <c r="BO12" s="18">
        <v>30</v>
      </c>
      <c r="BP12" s="18">
        <v>31</v>
      </c>
      <c r="BQ12" s="119"/>
      <c r="BR12" s="123"/>
      <c r="BS12" s="123"/>
      <c r="BT12" s="119"/>
      <c r="BU12" s="120"/>
      <c r="BW12" s="78"/>
      <c r="BX12" s="78"/>
    </row>
    <row r="13" spans="1:76" ht="25.8" x14ac:dyDescent="0.3">
      <c r="A13" s="78"/>
      <c r="C13" s="120"/>
      <c r="D13" s="120"/>
      <c r="E13" s="120"/>
      <c r="F13" s="38">
        <f>WEEKDAY($D$1+F12)</f>
        <v>5</v>
      </c>
      <c r="G13" s="38">
        <f t="shared" ref="G13:AJ13" si="0">WEEKDAY($D$1+G12)</f>
        <v>6</v>
      </c>
      <c r="H13" s="38">
        <f t="shared" si="0"/>
        <v>7</v>
      </c>
      <c r="I13" s="38">
        <f t="shared" si="0"/>
        <v>1</v>
      </c>
      <c r="J13" s="38">
        <f t="shared" si="0"/>
        <v>2</v>
      </c>
      <c r="K13" s="38">
        <f t="shared" si="0"/>
        <v>3</v>
      </c>
      <c r="L13" s="38">
        <f t="shared" si="0"/>
        <v>4</v>
      </c>
      <c r="M13" s="38">
        <f t="shared" si="0"/>
        <v>5</v>
      </c>
      <c r="N13" s="38">
        <f t="shared" si="0"/>
        <v>6</v>
      </c>
      <c r="O13" s="38">
        <f t="shared" si="0"/>
        <v>7</v>
      </c>
      <c r="P13" s="38">
        <f t="shared" si="0"/>
        <v>1</v>
      </c>
      <c r="Q13" s="38">
        <f t="shared" si="0"/>
        <v>2</v>
      </c>
      <c r="R13" s="38">
        <f t="shared" si="0"/>
        <v>3</v>
      </c>
      <c r="S13" s="38">
        <f t="shared" si="0"/>
        <v>4</v>
      </c>
      <c r="T13" s="38">
        <f t="shared" si="0"/>
        <v>5</v>
      </c>
      <c r="U13" s="38">
        <f t="shared" si="0"/>
        <v>6</v>
      </c>
      <c r="V13" s="38">
        <f t="shared" si="0"/>
        <v>7</v>
      </c>
      <c r="W13" s="38">
        <f t="shared" si="0"/>
        <v>1</v>
      </c>
      <c r="X13" s="38">
        <f t="shared" si="0"/>
        <v>2</v>
      </c>
      <c r="Y13" s="38">
        <f t="shared" si="0"/>
        <v>3</v>
      </c>
      <c r="Z13" s="38">
        <f t="shared" si="0"/>
        <v>4</v>
      </c>
      <c r="AA13" s="38">
        <f t="shared" si="0"/>
        <v>5</v>
      </c>
      <c r="AB13" s="38">
        <f t="shared" si="0"/>
        <v>6</v>
      </c>
      <c r="AC13" s="38">
        <f t="shared" si="0"/>
        <v>7</v>
      </c>
      <c r="AD13" s="38">
        <f t="shared" si="0"/>
        <v>1</v>
      </c>
      <c r="AE13" s="38">
        <f t="shared" si="0"/>
        <v>2</v>
      </c>
      <c r="AF13" s="38">
        <f t="shared" si="0"/>
        <v>3</v>
      </c>
      <c r="AG13" s="38">
        <f t="shared" si="0"/>
        <v>4</v>
      </c>
      <c r="AH13" s="38">
        <f t="shared" si="0"/>
        <v>5</v>
      </c>
      <c r="AI13" s="38">
        <f t="shared" si="0"/>
        <v>6</v>
      </c>
      <c r="AJ13" s="38">
        <f t="shared" si="0"/>
        <v>7</v>
      </c>
      <c r="AK13" s="119"/>
      <c r="AL13" s="38">
        <f>WEEKDAY($D$1+AL12)</f>
        <v>5</v>
      </c>
      <c r="AM13" s="38">
        <f t="shared" ref="AM13:BP13" si="1">WEEKDAY($D$1+AM12)</f>
        <v>6</v>
      </c>
      <c r="AN13" s="38">
        <f t="shared" si="1"/>
        <v>7</v>
      </c>
      <c r="AO13" s="38">
        <f t="shared" si="1"/>
        <v>1</v>
      </c>
      <c r="AP13" s="38">
        <f t="shared" si="1"/>
        <v>2</v>
      </c>
      <c r="AQ13" s="38">
        <f t="shared" si="1"/>
        <v>3</v>
      </c>
      <c r="AR13" s="38">
        <f t="shared" si="1"/>
        <v>4</v>
      </c>
      <c r="AS13" s="38">
        <f t="shared" si="1"/>
        <v>5</v>
      </c>
      <c r="AT13" s="38">
        <f t="shared" si="1"/>
        <v>6</v>
      </c>
      <c r="AU13" s="38">
        <f t="shared" si="1"/>
        <v>7</v>
      </c>
      <c r="AV13" s="38">
        <f t="shared" si="1"/>
        <v>1</v>
      </c>
      <c r="AW13" s="38">
        <f t="shared" si="1"/>
        <v>2</v>
      </c>
      <c r="AX13" s="38">
        <f t="shared" si="1"/>
        <v>3</v>
      </c>
      <c r="AY13" s="38">
        <f t="shared" si="1"/>
        <v>4</v>
      </c>
      <c r="AZ13" s="38">
        <f t="shared" si="1"/>
        <v>5</v>
      </c>
      <c r="BA13" s="38">
        <f t="shared" si="1"/>
        <v>6</v>
      </c>
      <c r="BB13" s="38">
        <f t="shared" si="1"/>
        <v>7</v>
      </c>
      <c r="BC13" s="38">
        <f t="shared" si="1"/>
        <v>1</v>
      </c>
      <c r="BD13" s="38">
        <f t="shared" si="1"/>
        <v>2</v>
      </c>
      <c r="BE13" s="38">
        <f t="shared" si="1"/>
        <v>3</v>
      </c>
      <c r="BF13" s="38">
        <f t="shared" si="1"/>
        <v>4</v>
      </c>
      <c r="BG13" s="38">
        <f t="shared" si="1"/>
        <v>5</v>
      </c>
      <c r="BH13" s="38">
        <f t="shared" si="1"/>
        <v>6</v>
      </c>
      <c r="BI13" s="38">
        <f t="shared" si="1"/>
        <v>7</v>
      </c>
      <c r="BJ13" s="38">
        <f t="shared" si="1"/>
        <v>1</v>
      </c>
      <c r="BK13" s="38">
        <f t="shared" si="1"/>
        <v>2</v>
      </c>
      <c r="BL13" s="38">
        <f t="shared" si="1"/>
        <v>3</v>
      </c>
      <c r="BM13" s="38">
        <f t="shared" si="1"/>
        <v>4</v>
      </c>
      <c r="BN13" s="38">
        <f t="shared" si="1"/>
        <v>5</v>
      </c>
      <c r="BO13" s="38">
        <f t="shared" si="1"/>
        <v>6</v>
      </c>
      <c r="BP13" s="38">
        <f t="shared" si="1"/>
        <v>7</v>
      </c>
      <c r="BQ13" s="119"/>
      <c r="BR13" s="124"/>
      <c r="BS13" s="124"/>
      <c r="BT13" s="119"/>
      <c r="BU13" s="120"/>
      <c r="BW13" s="78"/>
      <c r="BX13" s="78"/>
    </row>
    <row r="14" spans="1:76" x14ac:dyDescent="0.3">
      <c r="A14" s="78"/>
      <c r="C14" s="4">
        <v>1</v>
      </c>
      <c r="D14" s="5" t="str">
        <f>IF(VLOOKUP(C14,DSNV!$C$8:$N$48,3,FALSE)=0,"",VLOOKUP(C14,DSNV!$C$8:$N$48,3,FALSE))</f>
        <v>Nguyễn Võ Như Bình</v>
      </c>
      <c r="E14" s="4" t="str">
        <f>IF(VLOOKUP(C14,DSNV!$C$8:$N$48,8,FALSE)="","",VLOOKUP(C14,DSNV!$C$8:$N$48,8,FALSE))</f>
        <v>Thành viên</v>
      </c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>
        <f>SUM(F14:AJ14)</f>
        <v>0</v>
      </c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>
        <f>SUM(AL14:BP14)</f>
        <v>0</v>
      </c>
      <c r="BR14" s="4"/>
      <c r="BS14" s="4"/>
      <c r="BT14" s="45">
        <f>SUM(AK14,BQ14:BS14)</f>
        <v>0</v>
      </c>
      <c r="BU14" s="5"/>
      <c r="BW14" s="78"/>
      <c r="BX14" s="78"/>
    </row>
    <row r="15" spans="1:76" x14ac:dyDescent="0.3">
      <c r="A15" s="78"/>
      <c r="C15" s="6">
        <v>2</v>
      </c>
      <c r="D15" s="5" t="str">
        <f>IF(VLOOKUP(C15,DSNV!$C$8:$N$48,3,FALSE)=0,"",VLOOKUP(C15,DSNV!$C$8:$N$48,3,FALSE))</f>
        <v>Võ Khánh Đoan</v>
      </c>
      <c r="E15" s="4" t="str">
        <f>IF(VLOOKUP(C15,DSNV!$C$8:$N$48,8,FALSE)="","",VLOOKUP(C15,DSNV!$C$8:$N$48,8,FALSE))</f>
        <v>Thành viên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4">
        <f t="shared" ref="AK15:AK53" si="2">SUM(F15:AJ15)</f>
        <v>0</v>
      </c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4">
        <f t="shared" ref="BQ15:BQ53" si="3">SUM(AL15:BP15)</f>
        <v>0</v>
      </c>
      <c r="BR15" s="4"/>
      <c r="BS15" s="4"/>
      <c r="BT15" s="45">
        <f t="shared" ref="BT15:BT53" si="4">SUM(AK15,BQ15:BS15)</f>
        <v>0</v>
      </c>
      <c r="BU15" s="7"/>
      <c r="BW15" s="78"/>
      <c r="BX15" s="78"/>
    </row>
    <row r="16" spans="1:76" x14ac:dyDescent="0.3">
      <c r="A16" s="78"/>
      <c r="C16" s="6">
        <v>3</v>
      </c>
      <c r="D16" s="5" t="str">
        <f>IF(VLOOKUP(C16,DSNV!$C$8:$N$48,3,FALSE)=0,"",VLOOKUP(C16,DSNV!$C$8:$N$48,3,FALSE))</f>
        <v>Nguyễn Thu Hà</v>
      </c>
      <c r="E16" s="4" t="str">
        <f>IF(VLOOKUP(C16,DSNV!$C$8:$N$48,8,FALSE)="","",VLOOKUP(C16,DSNV!$C$8:$N$48,8,FALSE))</f>
        <v>Thành viên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4">
        <f t="shared" si="2"/>
        <v>0</v>
      </c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4">
        <f t="shared" si="3"/>
        <v>0</v>
      </c>
      <c r="BR16" s="4"/>
      <c r="BS16" s="4"/>
      <c r="BT16" s="45">
        <f t="shared" si="4"/>
        <v>0</v>
      </c>
      <c r="BU16" s="7"/>
      <c r="BW16" s="78"/>
      <c r="BX16" s="78"/>
    </row>
    <row r="17" spans="1:76" x14ac:dyDescent="0.3">
      <c r="A17" s="78"/>
      <c r="C17" s="6">
        <v>4</v>
      </c>
      <c r="D17" s="5" t="str">
        <f>IF(VLOOKUP(C17,DSNV!$C$8:$N$48,3,FALSE)=0,"",VLOOKUP(C17,DSNV!$C$8:$N$48,3,FALSE))</f>
        <v>Trương Thị Phú Hiệp</v>
      </c>
      <c r="E17" s="4" t="str">
        <f>IF(VLOOKUP(C17,DSNV!$C$8:$N$48,8,FALSE)="","",VLOOKUP(C17,DSNV!$C$8:$N$48,8,FALSE))</f>
        <v>Thành viên</v>
      </c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4">
        <f t="shared" si="2"/>
        <v>0</v>
      </c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4">
        <f t="shared" si="3"/>
        <v>0</v>
      </c>
      <c r="BR17" s="4"/>
      <c r="BS17" s="4"/>
      <c r="BT17" s="45">
        <f t="shared" si="4"/>
        <v>0</v>
      </c>
      <c r="BU17" s="7"/>
      <c r="BW17" s="78"/>
      <c r="BX17" s="78"/>
    </row>
    <row r="18" spans="1:76" x14ac:dyDescent="0.3">
      <c r="A18" s="78"/>
      <c r="C18" s="6">
        <v>5</v>
      </c>
      <c r="D18" s="5" t="str">
        <f>IF(VLOOKUP(C18,DSNV!$C$8:$N$48,3,FALSE)=0,"",VLOOKUP(C18,DSNV!$C$8:$N$48,3,FALSE))</f>
        <v>Nguyễn Thị Bích Hồng</v>
      </c>
      <c r="E18" s="4" t="str">
        <f>IF(VLOOKUP(C18,DSNV!$C$8:$N$48,8,FALSE)="","",VLOOKUP(C18,DSNV!$C$8:$N$48,8,FALSE))</f>
        <v>Thành viên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4">
        <f t="shared" si="2"/>
        <v>0</v>
      </c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4">
        <f t="shared" si="3"/>
        <v>0</v>
      </c>
      <c r="BR18" s="4"/>
      <c r="BS18" s="4"/>
      <c r="BT18" s="45">
        <f t="shared" si="4"/>
        <v>0</v>
      </c>
      <c r="BU18" s="7"/>
      <c r="BW18" s="78"/>
      <c r="BX18" s="78"/>
    </row>
    <row r="19" spans="1:76" x14ac:dyDescent="0.3">
      <c r="A19" s="78"/>
      <c r="C19" s="6">
        <v>6</v>
      </c>
      <c r="D19" s="5" t="str">
        <f>IF(VLOOKUP(C19,DSNV!$C$8:$N$48,3,FALSE)=0,"",VLOOKUP(C19,DSNV!$C$8:$N$48,3,FALSE))</f>
        <v>Phạm Thị Ngọc Hồng</v>
      </c>
      <c r="E19" s="4" t="str">
        <f>IF(VLOOKUP(C19,DSNV!$C$8:$N$48,8,FALSE)="","",VLOOKUP(C19,DSNV!$C$8:$N$48,8,FALSE))</f>
        <v>Thành viên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4">
        <f t="shared" si="2"/>
        <v>0</v>
      </c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4">
        <f t="shared" si="3"/>
        <v>0</v>
      </c>
      <c r="BR19" s="4">
        <f>BQ19/2</f>
        <v>0</v>
      </c>
      <c r="BS19" s="4"/>
      <c r="BT19" s="45">
        <f t="shared" si="4"/>
        <v>0</v>
      </c>
      <c r="BU19" s="7"/>
      <c r="BW19" s="78"/>
      <c r="BX19" s="78"/>
    </row>
    <row r="20" spans="1:76" x14ac:dyDescent="0.3">
      <c r="A20" s="78"/>
      <c r="C20" s="6">
        <v>7</v>
      </c>
      <c r="D20" s="5" t="str">
        <f>IF(VLOOKUP(C20,DSNV!$C$8:$N$48,3,FALSE)=0,"",VLOOKUP(C20,DSNV!$C$8:$N$48,3,FALSE))</f>
        <v>Phạm Thị Huệ</v>
      </c>
      <c r="E20" s="4" t="str">
        <f>IF(VLOOKUP(C20,DSNV!$C$8:$N$48,8,FALSE)="","",VLOOKUP(C20,DSNV!$C$8:$N$48,8,FALSE))</f>
        <v>Trưởng ban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4">
        <f t="shared" si="2"/>
        <v>0</v>
      </c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4">
        <f t="shared" si="3"/>
        <v>0</v>
      </c>
      <c r="BR20" s="4">
        <f t="shared" ref="BR20:BR21" si="5">BQ20/2</f>
        <v>0</v>
      </c>
      <c r="BS20" s="4"/>
      <c r="BT20" s="45">
        <f t="shared" si="4"/>
        <v>0</v>
      </c>
      <c r="BU20" s="7" t="s">
        <v>166</v>
      </c>
      <c r="BW20" s="78"/>
      <c r="BX20" s="78"/>
    </row>
    <row r="21" spans="1:76" x14ac:dyDescent="0.3">
      <c r="A21" s="78"/>
      <c r="C21" s="6">
        <v>8</v>
      </c>
      <c r="D21" s="5" t="str">
        <f>IF(VLOOKUP(C21,DSNV!$C$8:$N$48,3,FALSE)=0,"",VLOOKUP(C21,DSNV!$C$8:$N$48,3,FALSE))</f>
        <v>Nguyễn Thị Quỳnh Hương</v>
      </c>
      <c r="E21" s="4" t="str">
        <f>IF(VLOOKUP(C21,DSNV!$C$8:$N$48,8,FALSE)="","",VLOOKUP(C21,DSNV!$C$8:$N$48,8,FALSE))</f>
        <v>Trưởng ban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4">
        <f t="shared" si="2"/>
        <v>0</v>
      </c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4">
        <f t="shared" si="3"/>
        <v>0</v>
      </c>
      <c r="BR21" s="4">
        <f t="shared" si="5"/>
        <v>0</v>
      </c>
      <c r="BS21" s="4"/>
      <c r="BT21" s="45">
        <f t="shared" si="4"/>
        <v>0</v>
      </c>
      <c r="BU21" s="7"/>
      <c r="BW21" s="78"/>
      <c r="BX21" s="78"/>
    </row>
    <row r="22" spans="1:76" x14ac:dyDescent="0.3">
      <c r="A22" s="78"/>
      <c r="C22" s="6">
        <v>9</v>
      </c>
      <c r="D22" s="5" t="str">
        <f>IF(VLOOKUP(C22,DSNV!$C$8:$N$48,3,FALSE)=0,"",VLOOKUP(C22,DSNV!$C$8:$N$48,3,FALSE))</f>
        <v>Huỳnh Thanh Huyên</v>
      </c>
      <c r="E22" s="4" t="str">
        <f>IF(VLOOKUP(C22,DSNV!$C$8:$N$48,8,FALSE)="","",VLOOKUP(C22,DSNV!$C$8:$N$48,8,FALSE))</f>
        <v>Thành viên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4">
        <f t="shared" si="2"/>
        <v>0</v>
      </c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4">
        <f t="shared" si="3"/>
        <v>0</v>
      </c>
      <c r="BR22" s="4"/>
      <c r="BS22" s="4"/>
      <c r="BT22" s="45">
        <f t="shared" si="4"/>
        <v>0</v>
      </c>
      <c r="BU22" s="7"/>
      <c r="BW22" s="78"/>
      <c r="BX22" s="78"/>
    </row>
    <row r="23" spans="1:76" x14ac:dyDescent="0.3">
      <c r="A23" s="78"/>
      <c r="C23" s="6">
        <v>10</v>
      </c>
      <c r="D23" s="5" t="str">
        <f>IF(VLOOKUP(C23,DSNV!$C$8:$N$48,3,FALSE)=0,"",VLOOKUP(C23,DSNV!$C$8:$N$48,3,FALSE))</f>
        <v>Lê Hữu Di Mi</v>
      </c>
      <c r="E23" s="4" t="str">
        <f>IF(VLOOKUP(C23,DSNV!$C$8:$N$48,8,FALSE)="","",VLOOKUP(C23,DSNV!$C$8:$N$48,8,FALSE))</f>
        <v>Thành viên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4">
        <f t="shared" si="2"/>
        <v>0</v>
      </c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4">
        <f t="shared" si="3"/>
        <v>0</v>
      </c>
      <c r="BR23" s="4"/>
      <c r="BS23" s="4"/>
      <c r="BT23" s="45">
        <f t="shared" si="4"/>
        <v>0</v>
      </c>
      <c r="BU23" s="7"/>
      <c r="BW23" s="78"/>
      <c r="BX23" s="78"/>
    </row>
    <row r="24" spans="1:76" x14ac:dyDescent="0.3">
      <c r="A24" s="78"/>
      <c r="C24" s="6">
        <v>11</v>
      </c>
      <c r="D24" s="5" t="str">
        <f>IF(VLOOKUP(C24,DSNV!$C$8:$N$48,3,FALSE)=0,"",VLOOKUP(C24,DSNV!$C$8:$N$48,3,FALSE))</f>
        <v>Nguyễn Nhựt Minh</v>
      </c>
      <c r="E24" s="4" t="str">
        <f>IF(VLOOKUP(C24,DSNV!$C$8:$N$48,8,FALSE)="","",VLOOKUP(C24,DSNV!$C$8:$N$48,8,FALSE))</f>
        <v>Trưởng ban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4">
        <f t="shared" si="2"/>
        <v>0</v>
      </c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4">
        <f t="shared" si="3"/>
        <v>0</v>
      </c>
      <c r="BR24" s="4">
        <f>BQ24/2</f>
        <v>0</v>
      </c>
      <c r="BS24" s="4"/>
      <c r="BT24" s="45">
        <f t="shared" si="4"/>
        <v>0</v>
      </c>
      <c r="BU24" s="7"/>
      <c r="BW24" s="78"/>
      <c r="BX24" s="78"/>
    </row>
    <row r="25" spans="1:76" x14ac:dyDescent="0.3">
      <c r="A25" s="78"/>
      <c r="C25" s="6">
        <v>12</v>
      </c>
      <c r="D25" s="5" t="str">
        <f>IF(VLOOKUP(C25,DSNV!$C$8:$N$48,3,FALSE)=0,"",VLOOKUP(C25,DSNV!$C$8:$N$48,3,FALSE))</f>
        <v>Lê Thảo Nguyên</v>
      </c>
      <c r="E25" s="4" t="str">
        <f>IF(VLOOKUP(C25,DSNV!$C$8:$N$48,8,FALSE)="","",VLOOKUP(C25,DSNV!$C$8:$N$48,8,FALSE))</f>
        <v>Thành viên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4">
        <f t="shared" si="2"/>
        <v>0</v>
      </c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4">
        <f t="shared" si="3"/>
        <v>0</v>
      </c>
      <c r="BR25" s="4">
        <f>BQ25/2</f>
        <v>0</v>
      </c>
      <c r="BS25" s="4"/>
      <c r="BT25" s="45">
        <f t="shared" si="4"/>
        <v>0</v>
      </c>
      <c r="BU25" s="7"/>
      <c r="BW25" s="78"/>
      <c r="BX25" s="78"/>
    </row>
    <row r="26" spans="1:76" x14ac:dyDescent="0.3">
      <c r="A26" s="78"/>
      <c r="C26" s="6">
        <v>13</v>
      </c>
      <c r="D26" s="5" t="str">
        <f>IF(VLOOKUP(C26,DSNV!$C$8:$N$48,3,FALSE)=0,"",VLOOKUP(C26,DSNV!$C$8:$N$48,3,FALSE))</f>
        <v>Võ Thị Xuân Nữ</v>
      </c>
      <c r="E26" s="4" t="str">
        <f>IF(VLOOKUP(C26,DSNV!$C$8:$N$48,8,FALSE)="","",VLOOKUP(C26,DSNV!$C$8:$N$48,8,FALSE))</f>
        <v>Thành viên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4">
        <f t="shared" si="2"/>
        <v>0</v>
      </c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4">
        <f t="shared" si="3"/>
        <v>0</v>
      </c>
      <c r="BR26" s="4"/>
      <c r="BS26" s="4"/>
      <c r="BT26" s="45">
        <f t="shared" si="4"/>
        <v>0</v>
      </c>
      <c r="BU26" s="7"/>
      <c r="BW26" s="78"/>
      <c r="BX26" s="78"/>
    </row>
    <row r="27" spans="1:76" x14ac:dyDescent="0.3">
      <c r="A27" s="78"/>
      <c r="C27" s="6">
        <v>14</v>
      </c>
      <c r="D27" s="5" t="str">
        <f>IF(VLOOKUP(C27,DSNV!$C$8:$N$48,3,FALSE)=0,"",VLOOKUP(C27,DSNV!$C$8:$N$48,3,FALSE))</f>
        <v>Đỗ Thị Lan Phương</v>
      </c>
      <c r="E27" s="4" t="str">
        <f>IF(VLOOKUP(C27,DSNV!$C$8:$N$48,8,FALSE)="","",VLOOKUP(C27,DSNV!$C$8:$N$48,8,FALSE))</f>
        <v>Thành viên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4">
        <f t="shared" si="2"/>
        <v>0</v>
      </c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4">
        <f t="shared" si="3"/>
        <v>0</v>
      </c>
      <c r="BR27" s="4"/>
      <c r="BS27" s="4"/>
      <c r="BT27" s="45">
        <f t="shared" si="4"/>
        <v>0</v>
      </c>
      <c r="BU27" s="7"/>
      <c r="BW27" s="78"/>
      <c r="BX27" s="78"/>
    </row>
    <row r="28" spans="1:76" x14ac:dyDescent="0.3">
      <c r="A28" s="78"/>
      <c r="C28" s="6">
        <v>15</v>
      </c>
      <c r="D28" s="5" t="str">
        <f>IF(VLOOKUP(C28,DSNV!$C$8:$N$48,3,FALSE)=0,"",VLOOKUP(C28,DSNV!$C$8:$N$48,3,FALSE))</f>
        <v>Nguyễn Thị Nhã Quyên</v>
      </c>
      <c r="E28" s="4" t="str">
        <f>IF(VLOOKUP(C28,DSNV!$C$8:$N$48,8,FALSE)="","",VLOOKUP(C28,DSNV!$C$8:$N$48,8,FALSE))</f>
        <v>Thành viên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4">
        <f t="shared" si="2"/>
        <v>0</v>
      </c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4">
        <f t="shared" si="3"/>
        <v>0</v>
      </c>
      <c r="BR28" s="4">
        <f t="shared" ref="BR28:BR33" si="6">BQ28/2</f>
        <v>0</v>
      </c>
      <c r="BS28" s="4"/>
      <c r="BT28" s="45">
        <f t="shared" si="4"/>
        <v>0</v>
      </c>
      <c r="BU28" s="7"/>
      <c r="BW28" s="78"/>
      <c r="BX28" s="78"/>
    </row>
    <row r="29" spans="1:76" x14ac:dyDescent="0.3">
      <c r="A29" s="78"/>
      <c r="C29" s="6">
        <v>16</v>
      </c>
      <c r="D29" s="5" t="str">
        <f>IF(VLOOKUP(C29,DSNV!$C$8:$N$48,3,FALSE)=0,"",VLOOKUP(C29,DSNV!$C$8:$N$48,3,FALSE))</f>
        <v>Nguyễn Đức Vĩnh Thắng</v>
      </c>
      <c r="E29" s="4" t="str">
        <f>IF(VLOOKUP(C29,DSNV!$C$8:$N$48,8,FALSE)="","",VLOOKUP(C29,DSNV!$C$8:$N$48,8,FALSE))</f>
        <v>Trưởng ban</v>
      </c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4">
        <f t="shared" si="2"/>
        <v>0</v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4">
        <f t="shared" si="3"/>
        <v>0</v>
      </c>
      <c r="BR29" s="4">
        <f t="shared" si="6"/>
        <v>0</v>
      </c>
      <c r="BS29" s="4"/>
      <c r="BT29" s="45">
        <f t="shared" si="4"/>
        <v>0</v>
      </c>
      <c r="BU29" s="7"/>
      <c r="BW29" s="78"/>
      <c r="BX29" s="78"/>
    </row>
    <row r="30" spans="1:76" x14ac:dyDescent="0.3">
      <c r="A30" s="78"/>
      <c r="C30" s="6">
        <v>17</v>
      </c>
      <c r="D30" s="5" t="str">
        <f>IF(VLOOKUP(C30,DSNV!$C$8:$N$48,3,FALSE)=0,"",VLOOKUP(C30,DSNV!$C$8:$N$48,3,FALSE))</f>
        <v>Nguyễn Thành Tiến</v>
      </c>
      <c r="E30" s="4" t="str">
        <f>IF(VLOOKUP(C30,DSNV!$C$8:$N$48,8,FALSE)="","",VLOOKUP(C30,DSNV!$C$8:$N$48,8,FALSE))</f>
        <v>Thành viên</v>
      </c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4">
        <f t="shared" si="2"/>
        <v>0</v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4">
        <f t="shared" si="3"/>
        <v>0</v>
      </c>
      <c r="BR30" s="4">
        <f t="shared" si="6"/>
        <v>0</v>
      </c>
      <c r="BS30" s="4"/>
      <c r="BT30" s="45">
        <f t="shared" si="4"/>
        <v>0</v>
      </c>
      <c r="BU30" s="7"/>
      <c r="BW30" s="78"/>
      <c r="BX30" s="78"/>
    </row>
    <row r="31" spans="1:76" x14ac:dyDescent="0.3">
      <c r="A31" s="78"/>
      <c r="C31" s="6">
        <v>18</v>
      </c>
      <c r="D31" s="5" t="str">
        <f>IF(VLOOKUP(C31,DSNV!$C$8:$N$48,3,FALSE)=0,"",VLOOKUP(C31,DSNV!$C$8:$N$48,3,FALSE))</f>
        <v>Trần Thị Trúc</v>
      </c>
      <c r="E31" s="4" t="str">
        <f>IF(VLOOKUP(C31,DSNV!$C$8:$N$48,8,FALSE)="","",VLOOKUP(C31,DSNV!$C$8:$N$48,8,FALSE))</f>
        <v>Thành viên</v>
      </c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4">
        <f t="shared" si="2"/>
        <v>0</v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4">
        <f t="shared" si="3"/>
        <v>0</v>
      </c>
      <c r="BR31" s="4">
        <f t="shared" si="6"/>
        <v>0</v>
      </c>
      <c r="BS31" s="4"/>
      <c r="BT31" s="45">
        <f t="shared" si="4"/>
        <v>0</v>
      </c>
      <c r="BU31" s="7"/>
      <c r="BW31" s="78"/>
      <c r="BX31" s="78"/>
    </row>
    <row r="32" spans="1:76" x14ac:dyDescent="0.3">
      <c r="A32" s="78"/>
      <c r="C32" s="6">
        <v>19</v>
      </c>
      <c r="D32" s="5" t="str">
        <f>IF(VLOOKUP(C32,DSNV!$C$8:$N$48,3,FALSE)=0,"",VLOOKUP(C32,DSNV!$C$8:$N$48,3,FALSE))</f>
        <v>Bùi Hoàng Trung</v>
      </c>
      <c r="E32" s="4" t="str">
        <f>IF(VLOOKUP(C32,DSNV!$C$8:$N$48,8,FALSE)="","",VLOOKUP(C32,DSNV!$C$8:$N$48,8,FALSE))</f>
        <v>Thành viên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4">
        <f t="shared" si="2"/>
        <v>0</v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4">
        <f t="shared" si="3"/>
        <v>0</v>
      </c>
      <c r="BR32" s="4">
        <f t="shared" si="6"/>
        <v>0</v>
      </c>
      <c r="BS32" s="4"/>
      <c r="BT32" s="45">
        <f t="shared" si="4"/>
        <v>0</v>
      </c>
      <c r="BU32" s="7"/>
      <c r="BW32" s="78"/>
      <c r="BX32" s="78"/>
    </row>
    <row r="33" spans="1:76" ht="15" thickBot="1" x14ac:dyDescent="0.35">
      <c r="A33" s="78"/>
      <c r="C33" s="6">
        <v>20</v>
      </c>
      <c r="D33" s="5" t="str">
        <f>IF(VLOOKUP(C33,DSNV!$C$8:$N$48,3,FALSE)=0,"",VLOOKUP(C33,DSNV!$C$8:$N$48,3,FALSE))</f>
        <v>Ngô Trúc Tường Vy</v>
      </c>
      <c r="E33" s="4" t="str">
        <f>IF(VLOOKUP(C33,DSNV!$C$8:$N$48,8,FALSE)="","",VLOOKUP(C33,DSNV!$C$8:$N$48,8,FALSE))</f>
        <v>Trưởng ban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4">
        <f t="shared" si="2"/>
        <v>0</v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4">
        <f t="shared" si="3"/>
        <v>0</v>
      </c>
      <c r="BR33" s="4">
        <f t="shared" si="6"/>
        <v>0</v>
      </c>
      <c r="BS33" s="4"/>
      <c r="BT33" s="45">
        <f t="shared" si="4"/>
        <v>0</v>
      </c>
      <c r="BU33" s="7"/>
      <c r="BW33" s="78"/>
      <c r="BX33" s="78"/>
    </row>
    <row r="34" spans="1:76" ht="15" hidden="1" thickBot="1" x14ac:dyDescent="0.35">
      <c r="A34" s="78"/>
      <c r="C34" s="6">
        <v>21</v>
      </c>
      <c r="D34" s="5" t="str">
        <f>IF(VLOOKUP(C34,DSNV!$C$8:$N$48,3,FALSE)=0,"",VLOOKUP(C34,DSNV!$C$8:$N$48,3,FALSE))</f>
        <v/>
      </c>
      <c r="E34" s="4" t="str">
        <f>IF(VLOOKUP(C34,DSNV!$C$8:$N$48,8,FALSE)="","",VLOOKUP(C34,DSNV!$C$8:$N$48,8,FALSE))</f>
        <v/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4">
        <f t="shared" si="2"/>
        <v>0</v>
      </c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4">
        <f t="shared" si="3"/>
        <v>0</v>
      </c>
      <c r="BR34" s="4"/>
      <c r="BS34" s="4"/>
      <c r="BT34" s="45">
        <f t="shared" si="4"/>
        <v>0</v>
      </c>
      <c r="BU34" s="7"/>
      <c r="BW34" s="78"/>
      <c r="BX34" s="78"/>
    </row>
    <row r="35" spans="1:76" ht="15" hidden="1" thickBot="1" x14ac:dyDescent="0.35">
      <c r="A35" s="78"/>
      <c r="C35" s="6">
        <v>22</v>
      </c>
      <c r="D35" s="5" t="str">
        <f>IF(VLOOKUP(C35,DSNV!$C$8:$N$48,3,FALSE)=0,"",VLOOKUP(C35,DSNV!$C$8:$N$48,3,FALSE))</f>
        <v/>
      </c>
      <c r="E35" s="4" t="str">
        <f>IF(VLOOKUP(C35,DSNV!$C$8:$N$48,8,FALSE)="","",VLOOKUP(C35,DSNV!$C$8:$N$48,8,FALSE))</f>
        <v/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4">
        <f t="shared" si="2"/>
        <v>0</v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4">
        <f t="shared" si="3"/>
        <v>0</v>
      </c>
      <c r="BR35" s="4"/>
      <c r="BS35" s="4"/>
      <c r="BT35" s="45">
        <f t="shared" si="4"/>
        <v>0</v>
      </c>
      <c r="BU35" s="7"/>
      <c r="BW35" s="78"/>
      <c r="BX35" s="78"/>
    </row>
    <row r="36" spans="1:76" ht="15" hidden="1" thickBot="1" x14ac:dyDescent="0.35">
      <c r="A36" s="78"/>
      <c r="C36" s="6">
        <v>23</v>
      </c>
      <c r="D36" s="5" t="str">
        <f>IF(VLOOKUP(C36,DSNV!$C$8:$N$48,3,FALSE)=0,"",VLOOKUP(C36,DSNV!$C$8:$N$48,3,FALSE))</f>
        <v/>
      </c>
      <c r="E36" s="4" t="str">
        <f>IF(VLOOKUP(C36,DSNV!$C$8:$N$48,8,FALSE)="","",VLOOKUP(C36,DSNV!$C$8:$N$48,8,FALSE))</f>
        <v/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4">
        <f t="shared" si="2"/>
        <v>0</v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4">
        <f t="shared" si="3"/>
        <v>0</v>
      </c>
      <c r="BR36" s="4"/>
      <c r="BS36" s="4"/>
      <c r="BT36" s="45">
        <f t="shared" si="4"/>
        <v>0</v>
      </c>
      <c r="BU36" s="7"/>
      <c r="BW36" s="78"/>
      <c r="BX36" s="78"/>
    </row>
    <row r="37" spans="1:76" ht="15" hidden="1" thickBot="1" x14ac:dyDescent="0.35">
      <c r="A37" s="78"/>
      <c r="C37" s="6">
        <v>24</v>
      </c>
      <c r="D37" s="5" t="str">
        <f>IF(VLOOKUP(C37,DSNV!$C$8:$N$48,3,FALSE)=0,"",VLOOKUP(C37,DSNV!$C$8:$N$48,3,FALSE))</f>
        <v/>
      </c>
      <c r="E37" s="4" t="str">
        <f>IF(VLOOKUP(C37,DSNV!$C$8:$N$48,8,FALSE)="","",VLOOKUP(C37,DSNV!$C$8:$N$48,8,FALSE))</f>
        <v/>
      </c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4">
        <f t="shared" si="2"/>
        <v>0</v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4">
        <f t="shared" si="3"/>
        <v>0</v>
      </c>
      <c r="BR37" s="4"/>
      <c r="BS37" s="4"/>
      <c r="BT37" s="45">
        <f t="shared" si="4"/>
        <v>0</v>
      </c>
      <c r="BU37" s="7"/>
      <c r="BW37" s="78"/>
      <c r="BX37" s="78"/>
    </row>
    <row r="38" spans="1:76" ht="15" hidden="1" thickBot="1" x14ac:dyDescent="0.35">
      <c r="A38" s="78"/>
      <c r="C38" s="6">
        <v>25</v>
      </c>
      <c r="D38" s="5" t="str">
        <f>IF(VLOOKUP(C38,DSNV!$C$8:$N$48,3,FALSE)=0,"",VLOOKUP(C38,DSNV!$C$8:$N$48,3,FALSE))</f>
        <v/>
      </c>
      <c r="E38" s="4" t="str">
        <f>IF(VLOOKUP(C38,DSNV!$C$8:$N$48,8,FALSE)="","",VLOOKUP(C38,DSNV!$C$8:$N$48,8,FALSE))</f>
        <v/>
      </c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4">
        <f t="shared" si="2"/>
        <v>0</v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4">
        <f t="shared" si="3"/>
        <v>0</v>
      </c>
      <c r="BR38" s="4"/>
      <c r="BS38" s="4"/>
      <c r="BT38" s="45">
        <f t="shared" si="4"/>
        <v>0</v>
      </c>
      <c r="BU38" s="7"/>
      <c r="BW38" s="78"/>
      <c r="BX38" s="78"/>
    </row>
    <row r="39" spans="1:76" ht="15" hidden="1" thickBot="1" x14ac:dyDescent="0.35">
      <c r="A39" s="78"/>
      <c r="C39" s="6">
        <v>26</v>
      </c>
      <c r="D39" s="5" t="str">
        <f>IF(VLOOKUP(C39,DSNV!$C$8:$N$48,3,FALSE)=0,"",VLOOKUP(C39,DSNV!$C$8:$N$48,3,FALSE))</f>
        <v/>
      </c>
      <c r="E39" s="4" t="str">
        <f>IF(VLOOKUP(C39,DSNV!$C$8:$N$48,8,FALSE)="","",VLOOKUP(C39,DSNV!$C$8:$N$48,8,FALSE))</f>
        <v/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4">
        <f t="shared" si="2"/>
        <v>0</v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4">
        <f t="shared" si="3"/>
        <v>0</v>
      </c>
      <c r="BR39" s="4"/>
      <c r="BS39" s="4"/>
      <c r="BT39" s="45">
        <f t="shared" si="4"/>
        <v>0</v>
      </c>
      <c r="BU39" s="7"/>
      <c r="BW39" s="78"/>
      <c r="BX39" s="78"/>
    </row>
    <row r="40" spans="1:76" ht="15" hidden="1" thickBot="1" x14ac:dyDescent="0.35">
      <c r="A40" s="78"/>
      <c r="C40" s="6">
        <v>27</v>
      </c>
      <c r="D40" s="5" t="str">
        <f>IF(VLOOKUP(C40,DSNV!$C$8:$N$48,3,FALSE)=0,"",VLOOKUP(C40,DSNV!$C$8:$N$48,3,FALSE))</f>
        <v/>
      </c>
      <c r="E40" s="4" t="str">
        <f>IF(VLOOKUP(C40,DSNV!$C$8:$N$48,8,FALSE)="","",VLOOKUP(C40,DSNV!$C$8:$N$48,8,FALSE))</f>
        <v/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4">
        <f t="shared" si="2"/>
        <v>0</v>
      </c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4">
        <f t="shared" si="3"/>
        <v>0</v>
      </c>
      <c r="BR40" s="4"/>
      <c r="BS40" s="4"/>
      <c r="BT40" s="45">
        <f t="shared" si="4"/>
        <v>0</v>
      </c>
      <c r="BU40" s="7"/>
      <c r="BW40" s="78"/>
      <c r="BX40" s="78"/>
    </row>
    <row r="41" spans="1:76" ht="15" hidden="1" thickBot="1" x14ac:dyDescent="0.35">
      <c r="A41" s="78"/>
      <c r="C41" s="6">
        <v>28</v>
      </c>
      <c r="D41" s="5" t="str">
        <f>IF(VLOOKUP(C41,DSNV!$C$8:$N$48,3,FALSE)=0,"",VLOOKUP(C41,DSNV!$C$8:$N$48,3,FALSE))</f>
        <v/>
      </c>
      <c r="E41" s="4" t="str">
        <f>IF(VLOOKUP(C41,DSNV!$C$8:$N$48,8,FALSE)="","",VLOOKUP(C41,DSNV!$C$8:$N$48,8,FALSE))</f>
        <v/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4">
        <f t="shared" si="2"/>
        <v>0</v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4">
        <f t="shared" si="3"/>
        <v>0</v>
      </c>
      <c r="BR41" s="4"/>
      <c r="BS41" s="4"/>
      <c r="BT41" s="45">
        <f t="shared" si="4"/>
        <v>0</v>
      </c>
      <c r="BU41" s="7"/>
      <c r="BW41" s="78"/>
      <c r="BX41" s="78"/>
    </row>
    <row r="42" spans="1:76" ht="15" hidden="1" thickBot="1" x14ac:dyDescent="0.35">
      <c r="A42" s="78"/>
      <c r="C42" s="6">
        <v>29</v>
      </c>
      <c r="D42" s="5" t="str">
        <f>IF(VLOOKUP(C42,DSNV!$C$8:$N$48,3,FALSE)=0,"",VLOOKUP(C42,DSNV!$C$8:$N$48,3,FALSE))</f>
        <v/>
      </c>
      <c r="E42" s="4" t="str">
        <f>IF(VLOOKUP(C42,DSNV!$C$8:$N$48,8,FALSE)="","",VLOOKUP(C42,DSNV!$C$8:$N$48,8,FALSE))</f>
        <v/>
      </c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4">
        <f t="shared" si="2"/>
        <v>0</v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4">
        <f t="shared" si="3"/>
        <v>0</v>
      </c>
      <c r="BR42" s="4"/>
      <c r="BS42" s="4"/>
      <c r="BT42" s="45">
        <f t="shared" si="4"/>
        <v>0</v>
      </c>
      <c r="BU42" s="7"/>
      <c r="BW42" s="78"/>
      <c r="BX42" s="78"/>
    </row>
    <row r="43" spans="1:76" ht="15" hidden="1" thickBot="1" x14ac:dyDescent="0.35">
      <c r="A43" s="78"/>
      <c r="C43" s="6">
        <v>30</v>
      </c>
      <c r="D43" s="5" t="str">
        <f>IF(VLOOKUP(C43,DSNV!$C$8:$N$48,3,FALSE)=0,"",VLOOKUP(C43,DSNV!$C$8:$N$48,3,FALSE))</f>
        <v/>
      </c>
      <c r="E43" s="4" t="str">
        <f>IF(VLOOKUP(C43,DSNV!$C$8:$N$48,8,FALSE)="","",VLOOKUP(C43,DSNV!$C$8:$N$48,8,FALSE))</f>
        <v/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4">
        <f t="shared" si="2"/>
        <v>0</v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4">
        <f t="shared" si="3"/>
        <v>0</v>
      </c>
      <c r="BR43" s="4"/>
      <c r="BS43" s="4"/>
      <c r="BT43" s="45">
        <f t="shared" si="4"/>
        <v>0</v>
      </c>
      <c r="BU43" s="7"/>
      <c r="BW43" s="78"/>
      <c r="BX43" s="78"/>
    </row>
    <row r="44" spans="1:76" ht="15" hidden="1" thickBot="1" x14ac:dyDescent="0.35">
      <c r="A44" s="78"/>
      <c r="C44" s="6">
        <v>31</v>
      </c>
      <c r="D44" s="5" t="str">
        <f>IF(VLOOKUP(C44,DSNV!$C$8:$N$48,3,FALSE)=0,"",VLOOKUP(C44,DSNV!$C$8:$N$48,3,FALSE))</f>
        <v/>
      </c>
      <c r="E44" s="4" t="str">
        <f>IF(VLOOKUP(C44,DSNV!$C$8:$N$48,8,FALSE)="","",VLOOKUP(C44,DSNV!$C$8:$N$48,8,FALSE))</f>
        <v/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4">
        <f t="shared" si="2"/>
        <v>0</v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4">
        <f t="shared" si="3"/>
        <v>0</v>
      </c>
      <c r="BR44" s="4"/>
      <c r="BS44" s="4"/>
      <c r="BT44" s="45">
        <f t="shared" si="4"/>
        <v>0</v>
      </c>
      <c r="BU44" s="7"/>
      <c r="BW44" s="78"/>
      <c r="BX44" s="78"/>
    </row>
    <row r="45" spans="1:76" ht="15" hidden="1" thickBot="1" x14ac:dyDescent="0.35">
      <c r="A45" s="78"/>
      <c r="C45" s="6">
        <v>32</v>
      </c>
      <c r="D45" s="5" t="str">
        <f>IF(VLOOKUP(C45,DSNV!$C$8:$N$48,3,FALSE)=0,"",VLOOKUP(C45,DSNV!$C$8:$N$48,3,FALSE))</f>
        <v/>
      </c>
      <c r="E45" s="4" t="str">
        <f>IF(VLOOKUP(C45,DSNV!$C$8:$N$48,8,FALSE)="","",VLOOKUP(C45,DSNV!$C$8:$N$48,8,FALSE))</f>
        <v/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4">
        <f t="shared" si="2"/>
        <v>0</v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4">
        <f t="shared" si="3"/>
        <v>0</v>
      </c>
      <c r="BR45" s="4"/>
      <c r="BS45" s="4"/>
      <c r="BT45" s="45">
        <f t="shared" si="4"/>
        <v>0</v>
      </c>
      <c r="BU45" s="7"/>
      <c r="BW45" s="78"/>
      <c r="BX45" s="78"/>
    </row>
    <row r="46" spans="1:76" ht="15" hidden="1" thickBot="1" x14ac:dyDescent="0.35">
      <c r="A46" s="78"/>
      <c r="C46" s="6">
        <v>33</v>
      </c>
      <c r="D46" s="5" t="str">
        <f>IF(VLOOKUP(C46,DSNV!$C$8:$N$48,3,FALSE)=0,"",VLOOKUP(C46,DSNV!$C$8:$N$48,3,FALSE))</f>
        <v/>
      </c>
      <c r="E46" s="4" t="str">
        <f>IF(VLOOKUP(C46,DSNV!$C$8:$N$48,8,FALSE)="","",VLOOKUP(C46,DSNV!$C$8:$N$48,8,FALSE))</f>
        <v/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4">
        <f t="shared" si="2"/>
        <v>0</v>
      </c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4">
        <f t="shared" si="3"/>
        <v>0</v>
      </c>
      <c r="BR46" s="4"/>
      <c r="BS46" s="4"/>
      <c r="BT46" s="45">
        <f t="shared" si="4"/>
        <v>0</v>
      </c>
      <c r="BU46" s="7"/>
      <c r="BW46" s="78"/>
      <c r="BX46" s="78"/>
    </row>
    <row r="47" spans="1:76" ht="15" hidden="1" thickBot="1" x14ac:dyDescent="0.35">
      <c r="A47" s="78"/>
      <c r="C47" s="6">
        <v>34</v>
      </c>
      <c r="D47" s="5" t="str">
        <f>IF(VLOOKUP(C47,DSNV!$C$8:$N$48,3,FALSE)=0,"",VLOOKUP(C47,DSNV!$C$8:$N$48,3,FALSE))</f>
        <v/>
      </c>
      <c r="E47" s="4" t="str">
        <f>IF(VLOOKUP(C47,DSNV!$C$8:$N$48,8,FALSE)="","",VLOOKUP(C47,DSNV!$C$8:$N$48,8,FALSE))</f>
        <v/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4">
        <f t="shared" si="2"/>
        <v>0</v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4">
        <f t="shared" si="3"/>
        <v>0</v>
      </c>
      <c r="BR47" s="4"/>
      <c r="BS47" s="4"/>
      <c r="BT47" s="45">
        <f t="shared" si="4"/>
        <v>0</v>
      </c>
      <c r="BU47" s="7"/>
      <c r="BW47" s="78"/>
      <c r="BX47" s="78"/>
    </row>
    <row r="48" spans="1:76" ht="15" hidden="1" thickBot="1" x14ac:dyDescent="0.35">
      <c r="A48" s="78"/>
      <c r="C48" s="6">
        <v>35</v>
      </c>
      <c r="D48" s="5" t="str">
        <f>IF(VLOOKUP(C48,DSNV!$C$8:$N$48,3,FALSE)=0,"",VLOOKUP(C48,DSNV!$C$8:$N$48,3,FALSE))</f>
        <v/>
      </c>
      <c r="E48" s="4" t="str">
        <f>IF(VLOOKUP(C48,DSNV!$C$8:$N$48,8,FALSE)="","",VLOOKUP(C48,DSNV!$C$8:$N$48,8,FALSE))</f>
        <v/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4">
        <f t="shared" si="2"/>
        <v>0</v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4">
        <f t="shared" si="3"/>
        <v>0</v>
      </c>
      <c r="BR48" s="4"/>
      <c r="BS48" s="4"/>
      <c r="BT48" s="45">
        <f t="shared" si="4"/>
        <v>0</v>
      </c>
      <c r="BU48" s="7"/>
      <c r="BW48" s="78"/>
      <c r="BX48" s="78"/>
    </row>
    <row r="49" spans="1:76" ht="15" hidden="1" thickBot="1" x14ac:dyDescent="0.35">
      <c r="A49" s="78"/>
      <c r="C49" s="6">
        <v>36</v>
      </c>
      <c r="D49" s="5" t="str">
        <f>IF(VLOOKUP(C49,DSNV!$C$8:$N$48,3,FALSE)=0,"",VLOOKUP(C49,DSNV!$C$8:$N$48,3,FALSE))</f>
        <v/>
      </c>
      <c r="E49" s="4" t="str">
        <f>IF(VLOOKUP(C49,DSNV!$C$8:$N$48,8,FALSE)="","",VLOOKUP(C49,DSNV!$C$8:$N$48,8,FALSE))</f>
        <v/>
      </c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4">
        <f t="shared" si="2"/>
        <v>0</v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4">
        <f t="shared" si="3"/>
        <v>0</v>
      </c>
      <c r="BR49" s="4"/>
      <c r="BS49" s="4"/>
      <c r="BT49" s="45">
        <f t="shared" si="4"/>
        <v>0</v>
      </c>
      <c r="BU49" s="7"/>
      <c r="BW49" s="78"/>
      <c r="BX49" s="78"/>
    </row>
    <row r="50" spans="1:76" ht="15" hidden="1" thickBot="1" x14ac:dyDescent="0.35">
      <c r="A50" s="78"/>
      <c r="C50" s="6">
        <v>37</v>
      </c>
      <c r="D50" s="5" t="str">
        <f>IF(VLOOKUP(C50,DSNV!$C$8:$N$48,3,FALSE)=0,"",VLOOKUP(C50,DSNV!$C$8:$N$48,3,FALSE))</f>
        <v/>
      </c>
      <c r="E50" s="4" t="str">
        <f>IF(VLOOKUP(C50,DSNV!$C$8:$N$48,8,FALSE)="","",VLOOKUP(C50,DSNV!$C$8:$N$48,8,FALSE))</f>
        <v/>
      </c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4">
        <f t="shared" si="2"/>
        <v>0</v>
      </c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4">
        <f t="shared" si="3"/>
        <v>0</v>
      </c>
      <c r="BR50" s="4"/>
      <c r="BS50" s="4"/>
      <c r="BT50" s="45">
        <f t="shared" si="4"/>
        <v>0</v>
      </c>
      <c r="BU50" s="7"/>
      <c r="BW50" s="78"/>
      <c r="BX50" s="78"/>
    </row>
    <row r="51" spans="1:76" ht="15" hidden="1" thickBot="1" x14ac:dyDescent="0.35">
      <c r="A51" s="78"/>
      <c r="C51" s="6">
        <v>38</v>
      </c>
      <c r="D51" s="5" t="str">
        <f>IF(VLOOKUP(C51,DSNV!$C$8:$N$48,3,FALSE)=0,"",VLOOKUP(C51,DSNV!$C$8:$N$48,3,FALSE))</f>
        <v/>
      </c>
      <c r="E51" s="4" t="str">
        <f>IF(VLOOKUP(C51,DSNV!$C$8:$N$48,8,FALSE)="","",VLOOKUP(C51,DSNV!$C$8:$N$48,8,FALSE))</f>
        <v/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4">
        <f t="shared" si="2"/>
        <v>0</v>
      </c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4">
        <f t="shared" si="3"/>
        <v>0</v>
      </c>
      <c r="BR51" s="4"/>
      <c r="BS51" s="4"/>
      <c r="BT51" s="45">
        <f t="shared" si="4"/>
        <v>0</v>
      </c>
      <c r="BU51" s="7"/>
      <c r="BW51" s="78"/>
      <c r="BX51" s="78"/>
    </row>
    <row r="52" spans="1:76" ht="15" hidden="1" thickBot="1" x14ac:dyDescent="0.35">
      <c r="A52" s="78"/>
      <c r="C52" s="6">
        <v>39</v>
      </c>
      <c r="D52" s="5" t="str">
        <f>IF(VLOOKUP(C52,DSNV!$C$8:$N$48,3,FALSE)=0,"",VLOOKUP(C52,DSNV!$C$8:$N$48,3,FALSE))</f>
        <v/>
      </c>
      <c r="E52" s="4" t="str">
        <f>IF(VLOOKUP(C52,DSNV!$C$8:$N$48,8,FALSE)="","",VLOOKUP(C52,DSNV!$C$8:$N$48,8,FALSE))</f>
        <v/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4">
        <f t="shared" si="2"/>
        <v>0</v>
      </c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4">
        <f t="shared" si="3"/>
        <v>0</v>
      </c>
      <c r="BR52" s="4"/>
      <c r="BS52" s="4"/>
      <c r="BT52" s="45">
        <f t="shared" si="4"/>
        <v>0</v>
      </c>
      <c r="BU52" s="7"/>
      <c r="BW52" s="78"/>
      <c r="BX52" s="78"/>
    </row>
    <row r="53" spans="1:76" ht="15" hidden="1" thickBot="1" x14ac:dyDescent="0.35">
      <c r="A53" s="78"/>
      <c r="C53" s="14">
        <v>40</v>
      </c>
      <c r="D53" s="5" t="str">
        <f>IF(VLOOKUP(C53,DSNV!$C$8:$N$48,3,FALSE)=0,"",VLOOKUP(C53,DSNV!$C$8:$N$48,3,FALSE))</f>
        <v/>
      </c>
      <c r="E53" s="4" t="str">
        <f>IF(VLOOKUP(C53,DSNV!$C$8:$N$48,8,FALSE)="","",VLOOKUP(C53,DSNV!$C$8:$N$48,8,FALSE))</f>
        <v/>
      </c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4">
        <f t="shared" si="2"/>
        <v>0</v>
      </c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4">
        <f t="shared" si="3"/>
        <v>0</v>
      </c>
      <c r="BR53" s="4"/>
      <c r="BS53" s="4"/>
      <c r="BT53" s="45">
        <f t="shared" si="4"/>
        <v>0</v>
      </c>
      <c r="BU53" s="15"/>
      <c r="BW53" s="78"/>
      <c r="BX53" s="78"/>
    </row>
    <row r="54" spans="1:76" ht="15" thickBot="1" x14ac:dyDescent="0.35">
      <c r="A54" s="78"/>
      <c r="C54" s="121" t="s">
        <v>53</v>
      </c>
      <c r="D54" s="121"/>
      <c r="E54" s="121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37">
        <f>SUM(AK14:AK53)</f>
        <v>0</v>
      </c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37">
        <f>SUM(BQ14:BQ53)</f>
        <v>0</v>
      </c>
      <c r="BR54" s="37">
        <f t="shared" ref="BR54:BS54" si="7">SUM(BR14:BR53)</f>
        <v>0</v>
      </c>
      <c r="BS54" s="37">
        <f t="shared" si="7"/>
        <v>0</v>
      </c>
      <c r="BT54" s="37">
        <f>SUM(BT14:BT53)</f>
        <v>0</v>
      </c>
      <c r="BU54" s="17"/>
      <c r="BW54" s="78"/>
      <c r="BX54" s="78"/>
    </row>
    <row r="55" spans="1:76" x14ac:dyDescent="0.3">
      <c r="A55" s="78"/>
      <c r="BW55" s="78"/>
      <c r="BX55" s="78"/>
    </row>
    <row r="56" spans="1:76" x14ac:dyDescent="0.3">
      <c r="A56" s="78"/>
      <c r="BW56" s="78"/>
      <c r="BX56" s="78"/>
    </row>
    <row r="57" spans="1:76" x14ac:dyDescent="0.3">
      <c r="A57" s="78"/>
      <c r="B57" s="78"/>
      <c r="C57" s="77"/>
      <c r="D57" s="78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  <c r="AW57" s="77"/>
      <c r="AX57" s="77"/>
      <c r="AY57" s="77"/>
      <c r="AZ57" s="77"/>
      <c r="BA57" s="77"/>
      <c r="BB57" s="77"/>
      <c r="BC57" s="77"/>
      <c r="BD57" s="77"/>
      <c r="BE57" s="77"/>
      <c r="BF57" s="77"/>
      <c r="BG57" s="77"/>
      <c r="BH57" s="77"/>
      <c r="BI57" s="77"/>
      <c r="BJ57" s="77"/>
      <c r="BK57" s="77"/>
      <c r="BL57" s="77"/>
      <c r="BM57" s="77"/>
      <c r="BN57" s="77"/>
      <c r="BO57" s="77"/>
      <c r="BP57" s="77"/>
      <c r="BQ57" s="77"/>
      <c r="BR57" s="77"/>
      <c r="BS57" s="77"/>
      <c r="BT57" s="77"/>
      <c r="BU57" s="78"/>
      <c r="BV57" s="78"/>
      <c r="BW57" s="78"/>
      <c r="BX57" s="78"/>
    </row>
    <row r="58" spans="1:76" x14ac:dyDescent="0.3">
      <c r="A58" s="78"/>
      <c r="B58" s="78"/>
      <c r="C58" s="77"/>
      <c r="D58" s="78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7"/>
      <c r="AL58" s="77"/>
      <c r="AM58" s="77"/>
      <c r="AN58" s="77"/>
      <c r="AO58" s="77"/>
      <c r="AP58" s="77"/>
      <c r="AQ58" s="77"/>
      <c r="AR58" s="77"/>
      <c r="AS58" s="77"/>
      <c r="AT58" s="77"/>
      <c r="AU58" s="77"/>
      <c r="AV58" s="77"/>
      <c r="AW58" s="77"/>
      <c r="AX58" s="77"/>
      <c r="AY58" s="77"/>
      <c r="AZ58" s="77"/>
      <c r="BA58" s="77"/>
      <c r="BB58" s="77"/>
      <c r="BC58" s="77"/>
      <c r="BD58" s="77"/>
      <c r="BE58" s="77"/>
      <c r="BF58" s="77"/>
      <c r="BG58" s="77"/>
      <c r="BH58" s="77"/>
      <c r="BI58" s="77"/>
      <c r="BJ58" s="77"/>
      <c r="BK58" s="77"/>
      <c r="BL58" s="77"/>
      <c r="BM58" s="77"/>
      <c r="BN58" s="77"/>
      <c r="BO58" s="77"/>
      <c r="BP58" s="77"/>
      <c r="BQ58" s="77"/>
      <c r="BR58" s="77"/>
      <c r="BS58" s="77"/>
      <c r="BT58" s="77"/>
      <c r="BU58" s="78"/>
      <c r="BV58" s="78"/>
      <c r="BW58" s="78"/>
      <c r="BX58" s="78"/>
    </row>
    <row r="59" spans="1:76" x14ac:dyDescent="0.3">
      <c r="A59" s="78"/>
      <c r="B59" s="78"/>
      <c r="C59" s="77"/>
      <c r="D59" s="78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  <c r="AI59" s="77"/>
      <c r="AJ59" s="77"/>
      <c r="AK59" s="77"/>
      <c r="AL59" s="77"/>
      <c r="AM59" s="77"/>
      <c r="AN59" s="77"/>
      <c r="AO59" s="77"/>
      <c r="AP59" s="77"/>
      <c r="AQ59" s="77"/>
      <c r="AR59" s="77"/>
      <c r="AS59" s="77"/>
      <c r="AT59" s="77"/>
      <c r="AU59" s="77"/>
      <c r="AV59" s="77"/>
      <c r="AW59" s="77"/>
      <c r="AX59" s="77"/>
      <c r="AY59" s="77"/>
      <c r="AZ59" s="77"/>
      <c r="BA59" s="77"/>
      <c r="BB59" s="77"/>
      <c r="BC59" s="77"/>
      <c r="BD59" s="77"/>
      <c r="BE59" s="77"/>
      <c r="BF59" s="77"/>
      <c r="BG59" s="77"/>
      <c r="BH59" s="77"/>
      <c r="BI59" s="77"/>
      <c r="BJ59" s="77"/>
      <c r="BK59" s="77"/>
      <c r="BL59" s="77"/>
      <c r="BM59" s="77"/>
      <c r="BN59" s="77"/>
      <c r="BO59" s="77"/>
      <c r="BP59" s="77"/>
      <c r="BQ59" s="77"/>
      <c r="BR59" s="77"/>
      <c r="BS59" s="77"/>
      <c r="BT59" s="77"/>
      <c r="BU59" s="78"/>
      <c r="BV59" s="78"/>
      <c r="BW59" s="78"/>
      <c r="BX59" s="78"/>
    </row>
  </sheetData>
  <autoFilter ref="C11:BU54" xr:uid="{5B728C7B-9475-4B02-8B4D-6C91ABA364A6}"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</autoFilter>
  <mergeCells count="12">
    <mergeCell ref="BQ11:BQ13"/>
    <mergeCell ref="BT11:BT13"/>
    <mergeCell ref="BU11:BU13"/>
    <mergeCell ref="C54:E54"/>
    <mergeCell ref="BR11:BR13"/>
    <mergeCell ref="BS11:BS13"/>
    <mergeCell ref="C11:C13"/>
    <mergeCell ref="D11:D13"/>
    <mergeCell ref="E11:E13"/>
    <mergeCell ref="F11:AJ11"/>
    <mergeCell ref="AK11:AK13"/>
    <mergeCell ref="AL11:BP11"/>
  </mergeCells>
  <conditionalFormatting sqref="F12:AJ54 AL12:BP54">
    <cfRule type="expression" dxfId="17" priority="3">
      <formula>OR(WEEKDAY($D$1+F$12)=1,WEEKDAY($D$1+F$12)=7)</formula>
    </cfRule>
  </conditionalFormatting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1BE6-40DC-4364-B5A4-AC23639A7408}">
  <sheetPr codeName="Sheet12"/>
  <dimension ref="A1:BY60"/>
  <sheetViews>
    <sheetView showGridLines="0" showRowColHeaders="0" workbookViewId="0">
      <pane xSplit="5" ySplit="13" topLeftCell="F14" activePane="bottomRight" state="frozen"/>
      <selection pane="topRight" activeCell="F1" sqref="F1"/>
      <selection pane="bottomLeft" activeCell="A14" sqref="A14"/>
      <selection pane="bottomRight"/>
    </sheetView>
  </sheetViews>
  <sheetFormatPr defaultColWidth="0" defaultRowHeight="14.4" zeroHeight="1" x14ac:dyDescent="0.3"/>
  <cols>
    <col min="1" max="1" width="8.88671875" style="2" customWidth="1"/>
    <col min="2" max="2" width="3.33203125" style="2" customWidth="1"/>
    <col min="3" max="3" width="5.21875" style="3" customWidth="1"/>
    <col min="4" max="4" width="23" style="2" bestFit="1" customWidth="1"/>
    <col min="5" max="5" width="12" style="3" customWidth="1"/>
    <col min="6" max="36" width="3.44140625" style="3" bestFit="1" customWidth="1"/>
    <col min="37" max="37" width="6.77734375" style="3" customWidth="1"/>
    <col min="38" max="68" width="3.44140625" style="3" bestFit="1" customWidth="1"/>
    <col min="69" max="72" width="6.77734375" style="3" customWidth="1"/>
    <col min="73" max="73" width="9.88671875" style="2" customWidth="1"/>
    <col min="74" max="74" width="3.33203125" style="2" customWidth="1"/>
    <col min="75" max="75" width="8.88671875" style="2" customWidth="1"/>
    <col min="76" max="76" width="8.88671875" style="2" hidden="1" customWidth="1"/>
    <col min="77" max="77" width="0" style="2" hidden="1" customWidth="1"/>
    <col min="78" max="16384" width="8.88671875" style="2" hidden="1"/>
  </cols>
  <sheetData>
    <row r="1" spans="1:77" s="104" customFormat="1" x14ac:dyDescent="0.3">
      <c r="C1" s="105"/>
      <c r="D1" s="106">
        <f>D2-1</f>
        <v>44408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</row>
    <row r="2" spans="1:77" s="104" customFormat="1" x14ac:dyDescent="0.3">
      <c r="C2" s="105"/>
      <c r="D2" s="107" t="str">
        <f>"01/08/"&amp;E9</f>
        <v>01/08/2021</v>
      </c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105"/>
      <c r="BP2" s="105"/>
      <c r="BQ2" s="105"/>
      <c r="BR2" s="105"/>
      <c r="BS2" s="105"/>
      <c r="BT2" s="105"/>
    </row>
    <row r="3" spans="1:77" s="110" customFormat="1" x14ac:dyDescent="0.3">
      <c r="C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1"/>
      <c r="AU3" s="111"/>
      <c r="AV3" s="111"/>
      <c r="AW3" s="111"/>
      <c r="AX3" s="111"/>
      <c r="AY3" s="111"/>
      <c r="AZ3" s="111"/>
      <c r="BA3" s="111"/>
      <c r="BB3" s="111"/>
      <c r="BC3" s="111"/>
      <c r="BD3" s="111"/>
      <c r="BE3" s="111"/>
      <c r="BF3" s="111"/>
      <c r="BG3" s="111"/>
      <c r="BH3" s="111"/>
      <c r="BI3" s="111"/>
      <c r="BJ3" s="111"/>
      <c r="BK3" s="111"/>
      <c r="BL3" s="111"/>
      <c r="BM3" s="111"/>
      <c r="BN3" s="111"/>
      <c r="BO3" s="111"/>
      <c r="BP3" s="111"/>
      <c r="BQ3" s="111"/>
      <c r="BR3" s="111"/>
      <c r="BS3" s="111"/>
      <c r="BT3" s="111"/>
    </row>
    <row r="4" spans="1:77" x14ac:dyDescent="0.3">
      <c r="A4" s="78"/>
      <c r="B4" s="78"/>
      <c r="C4" s="77"/>
      <c r="D4" s="79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  <c r="BC4" s="77"/>
      <c r="BD4" s="77"/>
      <c r="BE4" s="77"/>
      <c r="BF4" s="77"/>
      <c r="BG4" s="77"/>
      <c r="BH4" s="77"/>
      <c r="BI4" s="77"/>
      <c r="BJ4" s="77"/>
      <c r="BK4" s="77"/>
      <c r="BL4" s="77"/>
      <c r="BM4" s="77"/>
      <c r="BN4" s="77"/>
      <c r="BO4" s="77"/>
      <c r="BP4" s="77"/>
      <c r="BQ4" s="77"/>
      <c r="BR4" s="77"/>
      <c r="BS4" s="77"/>
      <c r="BT4" s="77"/>
      <c r="BU4" s="78"/>
      <c r="BV4" s="78"/>
      <c r="BW4" s="78"/>
      <c r="BX4" s="78"/>
      <c r="BY4" s="78"/>
    </row>
    <row r="5" spans="1:77" x14ac:dyDescent="0.3">
      <c r="A5" s="78"/>
      <c r="BW5" s="78"/>
      <c r="BX5" s="78"/>
    </row>
    <row r="6" spans="1:77" x14ac:dyDescent="0.3">
      <c r="A6" s="78"/>
      <c r="D6" s="41" t="s">
        <v>49</v>
      </c>
      <c r="E6" s="42">
        <f>COUNTIFS(F13:AJ13,"&gt;1",F13:AJ13,"&lt;7")</f>
        <v>22</v>
      </c>
      <c r="BW6" s="78"/>
      <c r="BX6" s="78"/>
    </row>
    <row r="7" spans="1:77" x14ac:dyDescent="0.3">
      <c r="A7" s="78"/>
      <c r="C7" s="1"/>
      <c r="D7" s="1"/>
      <c r="BW7" s="78"/>
      <c r="BX7" s="78"/>
    </row>
    <row r="8" spans="1:77" ht="25.8" x14ac:dyDescent="0.5">
      <c r="A8" s="78"/>
      <c r="D8" s="39" t="s">
        <v>50</v>
      </c>
      <c r="E8" s="39"/>
      <c r="BW8" s="78"/>
      <c r="BX8" s="78"/>
    </row>
    <row r="9" spans="1:77" x14ac:dyDescent="0.3">
      <c r="A9" s="78"/>
      <c r="D9" s="40" t="s">
        <v>94</v>
      </c>
      <c r="E9" s="1">
        <v>2021</v>
      </c>
      <c r="BW9" s="78"/>
      <c r="BX9" s="78"/>
    </row>
    <row r="10" spans="1:77" x14ac:dyDescent="0.3">
      <c r="A10" s="78"/>
      <c r="BW10" s="78"/>
      <c r="BX10" s="78"/>
    </row>
    <row r="11" spans="1:77" ht="13.8" customHeight="1" x14ac:dyDescent="0.3">
      <c r="A11" s="78"/>
      <c r="C11" s="120" t="s">
        <v>1</v>
      </c>
      <c r="D11" s="120" t="s">
        <v>2</v>
      </c>
      <c r="E11" s="120" t="s">
        <v>6</v>
      </c>
      <c r="F11" s="120" t="s">
        <v>51</v>
      </c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/>
      <c r="AK11" s="119" t="s">
        <v>54</v>
      </c>
      <c r="AL11" s="120" t="s">
        <v>52</v>
      </c>
      <c r="AM11" s="120"/>
      <c r="AN11" s="120"/>
      <c r="AO11" s="120"/>
      <c r="AP11" s="120"/>
      <c r="AQ11" s="120"/>
      <c r="AR11" s="120"/>
      <c r="AS11" s="120"/>
      <c r="AT11" s="120"/>
      <c r="AU11" s="120"/>
      <c r="AV11" s="120"/>
      <c r="AW11" s="120"/>
      <c r="AX11" s="120"/>
      <c r="AY11" s="120"/>
      <c r="AZ11" s="120"/>
      <c r="BA11" s="120"/>
      <c r="BB11" s="120"/>
      <c r="BC11" s="120"/>
      <c r="BD11" s="120"/>
      <c r="BE11" s="120"/>
      <c r="BF11" s="120"/>
      <c r="BG11" s="120"/>
      <c r="BH11" s="120"/>
      <c r="BI11" s="120"/>
      <c r="BJ11" s="120"/>
      <c r="BK11" s="120"/>
      <c r="BL11" s="120"/>
      <c r="BM11" s="120"/>
      <c r="BN11" s="120"/>
      <c r="BO11" s="120"/>
      <c r="BP11" s="120"/>
      <c r="BQ11" s="119" t="s">
        <v>112</v>
      </c>
      <c r="BR11" s="122" t="s">
        <v>113</v>
      </c>
      <c r="BS11" s="122" t="s">
        <v>114</v>
      </c>
      <c r="BT11" s="119" t="s">
        <v>53</v>
      </c>
      <c r="BU11" s="120" t="s">
        <v>8</v>
      </c>
      <c r="BW11" s="78"/>
      <c r="BX11" s="78"/>
    </row>
    <row r="12" spans="1:77" x14ac:dyDescent="0.3">
      <c r="A12" s="78"/>
      <c r="C12" s="120"/>
      <c r="D12" s="120"/>
      <c r="E12" s="120"/>
      <c r="F12" s="18">
        <v>1</v>
      </c>
      <c r="G12" s="18">
        <v>2</v>
      </c>
      <c r="H12" s="18">
        <v>3</v>
      </c>
      <c r="I12" s="18">
        <v>4</v>
      </c>
      <c r="J12" s="18">
        <v>5</v>
      </c>
      <c r="K12" s="18">
        <v>6</v>
      </c>
      <c r="L12" s="18">
        <v>7</v>
      </c>
      <c r="M12" s="18">
        <v>8</v>
      </c>
      <c r="N12" s="18">
        <v>9</v>
      </c>
      <c r="O12" s="18">
        <v>10</v>
      </c>
      <c r="P12" s="18">
        <v>11</v>
      </c>
      <c r="Q12" s="18">
        <v>12</v>
      </c>
      <c r="R12" s="18">
        <v>13</v>
      </c>
      <c r="S12" s="18">
        <v>14</v>
      </c>
      <c r="T12" s="18">
        <v>15</v>
      </c>
      <c r="U12" s="18">
        <v>16</v>
      </c>
      <c r="V12" s="18">
        <v>17</v>
      </c>
      <c r="W12" s="18">
        <v>18</v>
      </c>
      <c r="X12" s="18">
        <v>19</v>
      </c>
      <c r="Y12" s="18">
        <v>20</v>
      </c>
      <c r="Z12" s="18">
        <v>21</v>
      </c>
      <c r="AA12" s="18">
        <v>22</v>
      </c>
      <c r="AB12" s="18">
        <v>23</v>
      </c>
      <c r="AC12" s="18">
        <v>24</v>
      </c>
      <c r="AD12" s="18">
        <v>25</v>
      </c>
      <c r="AE12" s="18">
        <v>26</v>
      </c>
      <c r="AF12" s="18">
        <v>27</v>
      </c>
      <c r="AG12" s="18">
        <v>28</v>
      </c>
      <c r="AH12" s="18">
        <v>29</v>
      </c>
      <c r="AI12" s="18">
        <v>30</v>
      </c>
      <c r="AJ12" s="18">
        <v>31</v>
      </c>
      <c r="AK12" s="119"/>
      <c r="AL12" s="18">
        <v>1</v>
      </c>
      <c r="AM12" s="18">
        <v>2</v>
      </c>
      <c r="AN12" s="18">
        <v>3</v>
      </c>
      <c r="AO12" s="18">
        <v>4</v>
      </c>
      <c r="AP12" s="18">
        <v>5</v>
      </c>
      <c r="AQ12" s="18">
        <v>6</v>
      </c>
      <c r="AR12" s="18">
        <v>7</v>
      </c>
      <c r="AS12" s="18">
        <v>8</v>
      </c>
      <c r="AT12" s="18">
        <v>9</v>
      </c>
      <c r="AU12" s="18">
        <v>10</v>
      </c>
      <c r="AV12" s="18">
        <v>11</v>
      </c>
      <c r="AW12" s="18">
        <v>12</v>
      </c>
      <c r="AX12" s="18">
        <v>13</v>
      </c>
      <c r="AY12" s="18">
        <v>14</v>
      </c>
      <c r="AZ12" s="18">
        <v>15</v>
      </c>
      <c r="BA12" s="18">
        <v>16</v>
      </c>
      <c r="BB12" s="18">
        <v>17</v>
      </c>
      <c r="BC12" s="18">
        <v>18</v>
      </c>
      <c r="BD12" s="18">
        <v>19</v>
      </c>
      <c r="BE12" s="18">
        <v>20</v>
      </c>
      <c r="BF12" s="18">
        <v>21</v>
      </c>
      <c r="BG12" s="18">
        <v>22</v>
      </c>
      <c r="BH12" s="18">
        <v>23</v>
      </c>
      <c r="BI12" s="18">
        <v>24</v>
      </c>
      <c r="BJ12" s="18">
        <v>25</v>
      </c>
      <c r="BK12" s="18">
        <v>26</v>
      </c>
      <c r="BL12" s="18">
        <v>27</v>
      </c>
      <c r="BM12" s="18">
        <v>28</v>
      </c>
      <c r="BN12" s="18">
        <v>29</v>
      </c>
      <c r="BO12" s="18">
        <v>30</v>
      </c>
      <c r="BP12" s="18">
        <v>31</v>
      </c>
      <c r="BQ12" s="119"/>
      <c r="BR12" s="123"/>
      <c r="BS12" s="123"/>
      <c r="BT12" s="119"/>
      <c r="BU12" s="120"/>
      <c r="BW12" s="78"/>
      <c r="BX12" s="78"/>
    </row>
    <row r="13" spans="1:77" ht="25.8" x14ac:dyDescent="0.3">
      <c r="A13" s="78"/>
      <c r="C13" s="120"/>
      <c r="D13" s="120"/>
      <c r="E13" s="120"/>
      <c r="F13" s="38">
        <f>WEEKDAY($D$1+F12)</f>
        <v>1</v>
      </c>
      <c r="G13" s="38">
        <f t="shared" ref="G13:AJ13" si="0">WEEKDAY($D$1+G12)</f>
        <v>2</v>
      </c>
      <c r="H13" s="38">
        <f t="shared" si="0"/>
        <v>3</v>
      </c>
      <c r="I13" s="38">
        <f t="shared" si="0"/>
        <v>4</v>
      </c>
      <c r="J13" s="38">
        <f t="shared" si="0"/>
        <v>5</v>
      </c>
      <c r="K13" s="38">
        <f t="shared" si="0"/>
        <v>6</v>
      </c>
      <c r="L13" s="38">
        <f t="shared" si="0"/>
        <v>7</v>
      </c>
      <c r="M13" s="38">
        <f t="shared" si="0"/>
        <v>1</v>
      </c>
      <c r="N13" s="38">
        <f t="shared" si="0"/>
        <v>2</v>
      </c>
      <c r="O13" s="38">
        <f t="shared" si="0"/>
        <v>3</v>
      </c>
      <c r="P13" s="38">
        <f t="shared" si="0"/>
        <v>4</v>
      </c>
      <c r="Q13" s="38">
        <f t="shared" si="0"/>
        <v>5</v>
      </c>
      <c r="R13" s="38">
        <f t="shared" si="0"/>
        <v>6</v>
      </c>
      <c r="S13" s="38">
        <f t="shared" si="0"/>
        <v>7</v>
      </c>
      <c r="T13" s="38">
        <f t="shared" si="0"/>
        <v>1</v>
      </c>
      <c r="U13" s="38">
        <f t="shared" si="0"/>
        <v>2</v>
      </c>
      <c r="V13" s="38">
        <f t="shared" si="0"/>
        <v>3</v>
      </c>
      <c r="W13" s="38">
        <f t="shared" si="0"/>
        <v>4</v>
      </c>
      <c r="X13" s="38">
        <f t="shared" si="0"/>
        <v>5</v>
      </c>
      <c r="Y13" s="38">
        <f t="shared" si="0"/>
        <v>6</v>
      </c>
      <c r="Z13" s="38">
        <f t="shared" si="0"/>
        <v>7</v>
      </c>
      <c r="AA13" s="38">
        <f t="shared" si="0"/>
        <v>1</v>
      </c>
      <c r="AB13" s="38">
        <f t="shared" si="0"/>
        <v>2</v>
      </c>
      <c r="AC13" s="38">
        <f t="shared" si="0"/>
        <v>3</v>
      </c>
      <c r="AD13" s="38">
        <f t="shared" si="0"/>
        <v>4</v>
      </c>
      <c r="AE13" s="38">
        <f t="shared" si="0"/>
        <v>5</v>
      </c>
      <c r="AF13" s="38">
        <f t="shared" si="0"/>
        <v>6</v>
      </c>
      <c r="AG13" s="38">
        <f t="shared" si="0"/>
        <v>7</v>
      </c>
      <c r="AH13" s="38">
        <f t="shared" si="0"/>
        <v>1</v>
      </c>
      <c r="AI13" s="38">
        <f t="shared" si="0"/>
        <v>2</v>
      </c>
      <c r="AJ13" s="38">
        <f t="shared" si="0"/>
        <v>3</v>
      </c>
      <c r="AK13" s="119"/>
      <c r="AL13" s="38">
        <f>WEEKDAY($D$1+AL12)</f>
        <v>1</v>
      </c>
      <c r="AM13" s="38">
        <f t="shared" ref="AM13:BP13" si="1">WEEKDAY($D$1+AM12)</f>
        <v>2</v>
      </c>
      <c r="AN13" s="38">
        <f t="shared" si="1"/>
        <v>3</v>
      </c>
      <c r="AO13" s="38">
        <f t="shared" si="1"/>
        <v>4</v>
      </c>
      <c r="AP13" s="38">
        <f t="shared" si="1"/>
        <v>5</v>
      </c>
      <c r="AQ13" s="38">
        <f t="shared" si="1"/>
        <v>6</v>
      </c>
      <c r="AR13" s="38">
        <f t="shared" si="1"/>
        <v>7</v>
      </c>
      <c r="AS13" s="38">
        <f t="shared" si="1"/>
        <v>1</v>
      </c>
      <c r="AT13" s="38">
        <f t="shared" si="1"/>
        <v>2</v>
      </c>
      <c r="AU13" s="38">
        <f t="shared" si="1"/>
        <v>3</v>
      </c>
      <c r="AV13" s="38">
        <f t="shared" si="1"/>
        <v>4</v>
      </c>
      <c r="AW13" s="38">
        <f t="shared" si="1"/>
        <v>5</v>
      </c>
      <c r="AX13" s="38">
        <f t="shared" si="1"/>
        <v>6</v>
      </c>
      <c r="AY13" s="38">
        <f t="shared" si="1"/>
        <v>7</v>
      </c>
      <c r="AZ13" s="38">
        <f t="shared" si="1"/>
        <v>1</v>
      </c>
      <c r="BA13" s="38">
        <f t="shared" si="1"/>
        <v>2</v>
      </c>
      <c r="BB13" s="38">
        <f t="shared" si="1"/>
        <v>3</v>
      </c>
      <c r="BC13" s="38">
        <f t="shared" si="1"/>
        <v>4</v>
      </c>
      <c r="BD13" s="38">
        <f t="shared" si="1"/>
        <v>5</v>
      </c>
      <c r="BE13" s="38">
        <f t="shared" si="1"/>
        <v>6</v>
      </c>
      <c r="BF13" s="38">
        <f t="shared" si="1"/>
        <v>7</v>
      </c>
      <c r="BG13" s="38">
        <f t="shared" si="1"/>
        <v>1</v>
      </c>
      <c r="BH13" s="38">
        <f t="shared" si="1"/>
        <v>2</v>
      </c>
      <c r="BI13" s="38">
        <f t="shared" si="1"/>
        <v>3</v>
      </c>
      <c r="BJ13" s="38">
        <f t="shared" si="1"/>
        <v>4</v>
      </c>
      <c r="BK13" s="38">
        <f t="shared" si="1"/>
        <v>5</v>
      </c>
      <c r="BL13" s="38">
        <f t="shared" si="1"/>
        <v>6</v>
      </c>
      <c r="BM13" s="38">
        <f t="shared" si="1"/>
        <v>7</v>
      </c>
      <c r="BN13" s="38">
        <f t="shared" si="1"/>
        <v>1</v>
      </c>
      <c r="BO13" s="38">
        <f t="shared" si="1"/>
        <v>2</v>
      </c>
      <c r="BP13" s="38">
        <f t="shared" si="1"/>
        <v>3</v>
      </c>
      <c r="BQ13" s="119"/>
      <c r="BR13" s="124"/>
      <c r="BS13" s="124"/>
      <c r="BT13" s="119"/>
      <c r="BU13" s="120"/>
      <c r="BW13" s="78"/>
      <c r="BX13" s="78"/>
    </row>
    <row r="14" spans="1:77" x14ac:dyDescent="0.3">
      <c r="A14" s="78"/>
      <c r="C14" s="4">
        <v>1</v>
      </c>
      <c r="D14" s="5" t="str">
        <f>IF(VLOOKUP(C14,DSNV!$C$8:$N$48,3,FALSE)=0,"",VLOOKUP(C14,DSNV!$C$8:$N$48,3,FALSE))</f>
        <v>Nguyễn Võ Như Bình</v>
      </c>
      <c r="E14" s="4" t="str">
        <f>IF(VLOOKUP(C14,DSNV!$C$8:$N$48,8,FALSE)="","",VLOOKUP(C14,DSNV!$C$8:$N$48,8,FALSE))</f>
        <v>Thành viên</v>
      </c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>
        <f>SUM(F14:AJ14)</f>
        <v>0</v>
      </c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>
        <f>SUM(AL14:BP14)</f>
        <v>0</v>
      </c>
      <c r="BR14" s="4"/>
      <c r="BS14" s="4"/>
      <c r="BT14" s="45">
        <f>SUM(AK14,BQ14:BS14)</f>
        <v>0</v>
      </c>
      <c r="BU14" s="5"/>
      <c r="BW14" s="78"/>
      <c r="BX14" s="78"/>
    </row>
    <row r="15" spans="1:77" x14ac:dyDescent="0.3">
      <c r="A15" s="78"/>
      <c r="C15" s="6">
        <v>2</v>
      </c>
      <c r="D15" s="5" t="str">
        <f>IF(VLOOKUP(C15,DSNV!$C$8:$N$48,3,FALSE)=0,"",VLOOKUP(C15,DSNV!$C$8:$N$48,3,FALSE))</f>
        <v>Võ Khánh Đoan</v>
      </c>
      <c r="E15" s="4" t="str">
        <f>IF(VLOOKUP(C15,DSNV!$C$8:$N$48,8,FALSE)="","",VLOOKUP(C15,DSNV!$C$8:$N$48,8,FALSE))</f>
        <v>Thành viên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4">
        <f t="shared" ref="AK15:AK53" si="2">SUM(F15:AJ15)</f>
        <v>0</v>
      </c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4">
        <f t="shared" ref="BQ15:BQ53" si="3">SUM(AL15:BP15)</f>
        <v>0</v>
      </c>
      <c r="BR15" s="4"/>
      <c r="BS15" s="4"/>
      <c r="BT15" s="45">
        <f t="shared" ref="BT15:BT53" si="4">SUM(AK15,BQ15:BS15)</f>
        <v>0</v>
      </c>
      <c r="BU15" s="7"/>
      <c r="BW15" s="78"/>
      <c r="BX15" s="78"/>
    </row>
    <row r="16" spans="1:77" x14ac:dyDescent="0.3">
      <c r="A16" s="78"/>
      <c r="C16" s="6">
        <v>3</v>
      </c>
      <c r="D16" s="5" t="str">
        <f>IF(VLOOKUP(C16,DSNV!$C$8:$N$48,3,FALSE)=0,"",VLOOKUP(C16,DSNV!$C$8:$N$48,3,FALSE))</f>
        <v>Nguyễn Thu Hà</v>
      </c>
      <c r="E16" s="4" t="str">
        <f>IF(VLOOKUP(C16,DSNV!$C$8:$N$48,8,FALSE)="","",VLOOKUP(C16,DSNV!$C$8:$N$48,8,FALSE))</f>
        <v>Thành viên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4">
        <f t="shared" si="2"/>
        <v>0</v>
      </c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4">
        <f t="shared" si="3"/>
        <v>0</v>
      </c>
      <c r="BR16" s="4"/>
      <c r="BS16" s="4"/>
      <c r="BT16" s="45">
        <f t="shared" si="4"/>
        <v>0</v>
      </c>
      <c r="BU16" s="7"/>
      <c r="BW16" s="78"/>
      <c r="BX16" s="78"/>
    </row>
    <row r="17" spans="1:76" x14ac:dyDescent="0.3">
      <c r="A17" s="78"/>
      <c r="C17" s="6">
        <v>4</v>
      </c>
      <c r="D17" s="5" t="str">
        <f>IF(VLOOKUP(C17,DSNV!$C$8:$N$48,3,FALSE)=0,"",VLOOKUP(C17,DSNV!$C$8:$N$48,3,FALSE))</f>
        <v>Trương Thị Phú Hiệp</v>
      </c>
      <c r="E17" s="4" t="str">
        <f>IF(VLOOKUP(C17,DSNV!$C$8:$N$48,8,FALSE)="","",VLOOKUP(C17,DSNV!$C$8:$N$48,8,FALSE))</f>
        <v>Thành viên</v>
      </c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4">
        <f t="shared" si="2"/>
        <v>0</v>
      </c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4">
        <f t="shared" si="3"/>
        <v>0</v>
      </c>
      <c r="BR17" s="4"/>
      <c r="BS17" s="4"/>
      <c r="BT17" s="45">
        <f t="shared" si="4"/>
        <v>0</v>
      </c>
      <c r="BU17" s="7"/>
      <c r="BW17" s="78"/>
      <c r="BX17" s="78"/>
    </row>
    <row r="18" spans="1:76" x14ac:dyDescent="0.3">
      <c r="A18" s="78"/>
      <c r="C18" s="6">
        <v>5</v>
      </c>
      <c r="D18" s="5" t="str">
        <f>IF(VLOOKUP(C18,DSNV!$C$8:$N$48,3,FALSE)=0,"",VLOOKUP(C18,DSNV!$C$8:$N$48,3,FALSE))</f>
        <v>Nguyễn Thị Bích Hồng</v>
      </c>
      <c r="E18" s="4" t="str">
        <f>IF(VLOOKUP(C18,DSNV!$C$8:$N$48,8,FALSE)="","",VLOOKUP(C18,DSNV!$C$8:$N$48,8,FALSE))</f>
        <v>Thành viên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4">
        <f t="shared" si="2"/>
        <v>0</v>
      </c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4">
        <f t="shared" si="3"/>
        <v>0</v>
      </c>
      <c r="BR18" s="4"/>
      <c r="BS18" s="4"/>
      <c r="BT18" s="45">
        <f t="shared" si="4"/>
        <v>0</v>
      </c>
      <c r="BU18" s="7"/>
      <c r="BW18" s="78"/>
      <c r="BX18" s="78"/>
    </row>
    <row r="19" spans="1:76" x14ac:dyDescent="0.3">
      <c r="A19" s="78"/>
      <c r="C19" s="6">
        <v>6</v>
      </c>
      <c r="D19" s="5" t="str">
        <f>IF(VLOOKUP(C19,DSNV!$C$8:$N$48,3,FALSE)=0,"",VLOOKUP(C19,DSNV!$C$8:$N$48,3,FALSE))</f>
        <v>Phạm Thị Ngọc Hồng</v>
      </c>
      <c r="E19" s="4" t="str">
        <f>IF(VLOOKUP(C19,DSNV!$C$8:$N$48,8,FALSE)="","",VLOOKUP(C19,DSNV!$C$8:$N$48,8,FALSE))</f>
        <v>Thành viên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4">
        <f t="shared" si="2"/>
        <v>0</v>
      </c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4">
        <f t="shared" si="3"/>
        <v>0</v>
      </c>
      <c r="BR19" s="4">
        <f>BQ19/2</f>
        <v>0</v>
      </c>
      <c r="BS19" s="4"/>
      <c r="BT19" s="45">
        <f t="shared" si="4"/>
        <v>0</v>
      </c>
      <c r="BU19" s="7"/>
      <c r="BW19" s="78"/>
      <c r="BX19" s="78"/>
    </row>
    <row r="20" spans="1:76" x14ac:dyDescent="0.3">
      <c r="A20" s="78"/>
      <c r="C20" s="6">
        <v>7</v>
      </c>
      <c r="D20" s="5" t="str">
        <f>IF(VLOOKUP(C20,DSNV!$C$8:$N$48,3,FALSE)=0,"",VLOOKUP(C20,DSNV!$C$8:$N$48,3,FALSE))</f>
        <v>Phạm Thị Huệ</v>
      </c>
      <c r="E20" s="4" t="str">
        <f>IF(VLOOKUP(C20,DSNV!$C$8:$N$48,8,FALSE)="","",VLOOKUP(C20,DSNV!$C$8:$N$48,8,FALSE))</f>
        <v>Trưởng ban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4">
        <f t="shared" si="2"/>
        <v>0</v>
      </c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4">
        <f t="shared" si="3"/>
        <v>0</v>
      </c>
      <c r="BR20" s="4">
        <f t="shared" ref="BR20:BR21" si="5">BQ20/2</f>
        <v>0</v>
      </c>
      <c r="BS20" s="4"/>
      <c r="BT20" s="45">
        <f t="shared" si="4"/>
        <v>0</v>
      </c>
      <c r="BU20" s="7" t="s">
        <v>166</v>
      </c>
      <c r="BW20" s="78"/>
      <c r="BX20" s="78"/>
    </row>
    <row r="21" spans="1:76" x14ac:dyDescent="0.3">
      <c r="A21" s="78"/>
      <c r="C21" s="6">
        <v>8</v>
      </c>
      <c r="D21" s="5" t="str">
        <f>IF(VLOOKUP(C21,DSNV!$C$8:$N$48,3,FALSE)=0,"",VLOOKUP(C21,DSNV!$C$8:$N$48,3,FALSE))</f>
        <v>Nguyễn Thị Quỳnh Hương</v>
      </c>
      <c r="E21" s="4" t="str">
        <f>IF(VLOOKUP(C21,DSNV!$C$8:$N$48,8,FALSE)="","",VLOOKUP(C21,DSNV!$C$8:$N$48,8,FALSE))</f>
        <v>Trưởng ban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4">
        <f t="shared" si="2"/>
        <v>0</v>
      </c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4">
        <f t="shared" si="3"/>
        <v>0</v>
      </c>
      <c r="BR21" s="4">
        <f t="shared" si="5"/>
        <v>0</v>
      </c>
      <c r="BS21" s="4"/>
      <c r="BT21" s="45">
        <f t="shared" si="4"/>
        <v>0</v>
      </c>
      <c r="BU21" s="7"/>
      <c r="BW21" s="78"/>
      <c r="BX21" s="78"/>
    </row>
    <row r="22" spans="1:76" x14ac:dyDescent="0.3">
      <c r="A22" s="78"/>
      <c r="C22" s="6">
        <v>9</v>
      </c>
      <c r="D22" s="5" t="str">
        <f>IF(VLOOKUP(C22,DSNV!$C$8:$N$48,3,FALSE)=0,"",VLOOKUP(C22,DSNV!$C$8:$N$48,3,FALSE))</f>
        <v>Huỳnh Thanh Huyên</v>
      </c>
      <c r="E22" s="4" t="str">
        <f>IF(VLOOKUP(C22,DSNV!$C$8:$N$48,8,FALSE)="","",VLOOKUP(C22,DSNV!$C$8:$N$48,8,FALSE))</f>
        <v>Thành viên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4">
        <f t="shared" si="2"/>
        <v>0</v>
      </c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4">
        <f t="shared" si="3"/>
        <v>0</v>
      </c>
      <c r="BR22" s="4"/>
      <c r="BS22" s="4"/>
      <c r="BT22" s="45">
        <f t="shared" si="4"/>
        <v>0</v>
      </c>
      <c r="BU22" s="7"/>
      <c r="BW22" s="78"/>
      <c r="BX22" s="78"/>
    </row>
    <row r="23" spans="1:76" x14ac:dyDescent="0.3">
      <c r="A23" s="78"/>
      <c r="C23" s="6">
        <v>10</v>
      </c>
      <c r="D23" s="5" t="str">
        <f>IF(VLOOKUP(C23,DSNV!$C$8:$N$48,3,FALSE)=0,"",VLOOKUP(C23,DSNV!$C$8:$N$48,3,FALSE))</f>
        <v>Lê Hữu Di Mi</v>
      </c>
      <c r="E23" s="4" t="str">
        <f>IF(VLOOKUP(C23,DSNV!$C$8:$N$48,8,FALSE)="","",VLOOKUP(C23,DSNV!$C$8:$N$48,8,FALSE))</f>
        <v>Thành viên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4">
        <f t="shared" si="2"/>
        <v>0</v>
      </c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4">
        <f t="shared" si="3"/>
        <v>0</v>
      </c>
      <c r="BR23" s="4"/>
      <c r="BS23" s="4"/>
      <c r="BT23" s="45">
        <f t="shared" si="4"/>
        <v>0</v>
      </c>
      <c r="BU23" s="7"/>
      <c r="BW23" s="78"/>
      <c r="BX23" s="78"/>
    </row>
    <row r="24" spans="1:76" x14ac:dyDescent="0.3">
      <c r="A24" s="78"/>
      <c r="C24" s="6">
        <v>11</v>
      </c>
      <c r="D24" s="5" t="str">
        <f>IF(VLOOKUP(C24,DSNV!$C$8:$N$48,3,FALSE)=0,"",VLOOKUP(C24,DSNV!$C$8:$N$48,3,FALSE))</f>
        <v>Nguyễn Nhựt Minh</v>
      </c>
      <c r="E24" s="4" t="str">
        <f>IF(VLOOKUP(C24,DSNV!$C$8:$N$48,8,FALSE)="","",VLOOKUP(C24,DSNV!$C$8:$N$48,8,FALSE))</f>
        <v>Trưởng ban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4">
        <f t="shared" si="2"/>
        <v>0</v>
      </c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4">
        <f t="shared" si="3"/>
        <v>0</v>
      </c>
      <c r="BR24" s="4">
        <f>BQ24/2</f>
        <v>0</v>
      </c>
      <c r="BS24" s="4"/>
      <c r="BT24" s="45">
        <f t="shared" si="4"/>
        <v>0</v>
      </c>
      <c r="BU24" s="7"/>
      <c r="BW24" s="78"/>
      <c r="BX24" s="78"/>
    </row>
    <row r="25" spans="1:76" x14ac:dyDescent="0.3">
      <c r="A25" s="78"/>
      <c r="C25" s="6">
        <v>12</v>
      </c>
      <c r="D25" s="5" t="str">
        <f>IF(VLOOKUP(C25,DSNV!$C$8:$N$48,3,FALSE)=0,"",VLOOKUP(C25,DSNV!$C$8:$N$48,3,FALSE))</f>
        <v>Lê Thảo Nguyên</v>
      </c>
      <c r="E25" s="4" t="str">
        <f>IF(VLOOKUP(C25,DSNV!$C$8:$N$48,8,FALSE)="","",VLOOKUP(C25,DSNV!$C$8:$N$48,8,FALSE))</f>
        <v>Thành viên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4">
        <f t="shared" si="2"/>
        <v>0</v>
      </c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4">
        <f t="shared" si="3"/>
        <v>0</v>
      </c>
      <c r="BR25" s="4">
        <f>BQ25/2</f>
        <v>0</v>
      </c>
      <c r="BS25" s="4"/>
      <c r="BT25" s="45">
        <f t="shared" si="4"/>
        <v>0</v>
      </c>
      <c r="BU25" s="7"/>
      <c r="BW25" s="78"/>
      <c r="BX25" s="78"/>
    </row>
    <row r="26" spans="1:76" x14ac:dyDescent="0.3">
      <c r="A26" s="78"/>
      <c r="C26" s="6">
        <v>13</v>
      </c>
      <c r="D26" s="5" t="str">
        <f>IF(VLOOKUP(C26,DSNV!$C$8:$N$48,3,FALSE)=0,"",VLOOKUP(C26,DSNV!$C$8:$N$48,3,FALSE))</f>
        <v>Võ Thị Xuân Nữ</v>
      </c>
      <c r="E26" s="4" t="str">
        <f>IF(VLOOKUP(C26,DSNV!$C$8:$N$48,8,FALSE)="","",VLOOKUP(C26,DSNV!$C$8:$N$48,8,FALSE))</f>
        <v>Thành viên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4">
        <f t="shared" si="2"/>
        <v>0</v>
      </c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4">
        <f t="shared" si="3"/>
        <v>0</v>
      </c>
      <c r="BR26" s="4"/>
      <c r="BS26" s="4"/>
      <c r="BT26" s="45">
        <f t="shared" si="4"/>
        <v>0</v>
      </c>
      <c r="BU26" s="7"/>
      <c r="BW26" s="78"/>
      <c r="BX26" s="78"/>
    </row>
    <row r="27" spans="1:76" x14ac:dyDescent="0.3">
      <c r="A27" s="78"/>
      <c r="C27" s="6">
        <v>14</v>
      </c>
      <c r="D27" s="5" t="str">
        <f>IF(VLOOKUP(C27,DSNV!$C$8:$N$48,3,FALSE)=0,"",VLOOKUP(C27,DSNV!$C$8:$N$48,3,FALSE))</f>
        <v>Đỗ Thị Lan Phương</v>
      </c>
      <c r="E27" s="4" t="str">
        <f>IF(VLOOKUP(C27,DSNV!$C$8:$N$48,8,FALSE)="","",VLOOKUP(C27,DSNV!$C$8:$N$48,8,FALSE))</f>
        <v>Thành viên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4">
        <f t="shared" si="2"/>
        <v>0</v>
      </c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4">
        <f t="shared" si="3"/>
        <v>0</v>
      </c>
      <c r="BR27" s="4"/>
      <c r="BS27" s="4"/>
      <c r="BT27" s="45">
        <f t="shared" si="4"/>
        <v>0</v>
      </c>
      <c r="BU27" s="7"/>
      <c r="BW27" s="78"/>
      <c r="BX27" s="78"/>
    </row>
    <row r="28" spans="1:76" x14ac:dyDescent="0.3">
      <c r="A28" s="78"/>
      <c r="C28" s="6">
        <v>15</v>
      </c>
      <c r="D28" s="5" t="str">
        <f>IF(VLOOKUP(C28,DSNV!$C$8:$N$48,3,FALSE)=0,"",VLOOKUP(C28,DSNV!$C$8:$N$48,3,FALSE))</f>
        <v>Nguyễn Thị Nhã Quyên</v>
      </c>
      <c r="E28" s="4" t="str">
        <f>IF(VLOOKUP(C28,DSNV!$C$8:$N$48,8,FALSE)="","",VLOOKUP(C28,DSNV!$C$8:$N$48,8,FALSE))</f>
        <v>Thành viên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4">
        <f t="shared" si="2"/>
        <v>0</v>
      </c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4">
        <f t="shared" si="3"/>
        <v>0</v>
      </c>
      <c r="BR28" s="4">
        <f t="shared" ref="BR28:BR33" si="6">BQ28/2</f>
        <v>0</v>
      </c>
      <c r="BS28" s="4"/>
      <c r="BT28" s="45">
        <f t="shared" si="4"/>
        <v>0</v>
      </c>
      <c r="BU28" s="7"/>
      <c r="BW28" s="78"/>
      <c r="BX28" s="78"/>
    </row>
    <row r="29" spans="1:76" x14ac:dyDescent="0.3">
      <c r="A29" s="78"/>
      <c r="C29" s="6">
        <v>16</v>
      </c>
      <c r="D29" s="5" t="str">
        <f>IF(VLOOKUP(C29,DSNV!$C$8:$N$48,3,FALSE)=0,"",VLOOKUP(C29,DSNV!$C$8:$N$48,3,FALSE))</f>
        <v>Nguyễn Đức Vĩnh Thắng</v>
      </c>
      <c r="E29" s="4" t="str">
        <f>IF(VLOOKUP(C29,DSNV!$C$8:$N$48,8,FALSE)="","",VLOOKUP(C29,DSNV!$C$8:$N$48,8,FALSE))</f>
        <v>Trưởng ban</v>
      </c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4">
        <f t="shared" si="2"/>
        <v>0</v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4">
        <f t="shared" si="3"/>
        <v>0</v>
      </c>
      <c r="BR29" s="4">
        <f t="shared" si="6"/>
        <v>0</v>
      </c>
      <c r="BS29" s="4"/>
      <c r="BT29" s="45">
        <f t="shared" si="4"/>
        <v>0</v>
      </c>
      <c r="BU29" s="7"/>
      <c r="BW29" s="78"/>
      <c r="BX29" s="78"/>
    </row>
    <row r="30" spans="1:76" x14ac:dyDescent="0.3">
      <c r="A30" s="78"/>
      <c r="C30" s="6">
        <v>17</v>
      </c>
      <c r="D30" s="5" t="str">
        <f>IF(VLOOKUP(C30,DSNV!$C$8:$N$48,3,FALSE)=0,"",VLOOKUP(C30,DSNV!$C$8:$N$48,3,FALSE))</f>
        <v>Nguyễn Thành Tiến</v>
      </c>
      <c r="E30" s="4" t="str">
        <f>IF(VLOOKUP(C30,DSNV!$C$8:$N$48,8,FALSE)="","",VLOOKUP(C30,DSNV!$C$8:$N$48,8,FALSE))</f>
        <v>Thành viên</v>
      </c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4">
        <f t="shared" si="2"/>
        <v>0</v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4">
        <f t="shared" si="3"/>
        <v>0</v>
      </c>
      <c r="BR30" s="4">
        <f t="shared" si="6"/>
        <v>0</v>
      </c>
      <c r="BS30" s="4"/>
      <c r="BT30" s="45">
        <f t="shared" si="4"/>
        <v>0</v>
      </c>
      <c r="BU30" s="7"/>
      <c r="BW30" s="78"/>
      <c r="BX30" s="78"/>
    </row>
    <row r="31" spans="1:76" x14ac:dyDescent="0.3">
      <c r="A31" s="78"/>
      <c r="C31" s="6">
        <v>18</v>
      </c>
      <c r="D31" s="5" t="str">
        <f>IF(VLOOKUP(C31,DSNV!$C$8:$N$48,3,FALSE)=0,"",VLOOKUP(C31,DSNV!$C$8:$N$48,3,FALSE))</f>
        <v>Trần Thị Trúc</v>
      </c>
      <c r="E31" s="4" t="str">
        <f>IF(VLOOKUP(C31,DSNV!$C$8:$N$48,8,FALSE)="","",VLOOKUP(C31,DSNV!$C$8:$N$48,8,FALSE))</f>
        <v>Thành viên</v>
      </c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4">
        <f t="shared" si="2"/>
        <v>0</v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4">
        <f t="shared" si="3"/>
        <v>0</v>
      </c>
      <c r="BR31" s="4">
        <f t="shared" si="6"/>
        <v>0</v>
      </c>
      <c r="BS31" s="4"/>
      <c r="BT31" s="45">
        <f t="shared" si="4"/>
        <v>0</v>
      </c>
      <c r="BU31" s="7"/>
      <c r="BW31" s="78"/>
      <c r="BX31" s="78"/>
    </row>
    <row r="32" spans="1:76" x14ac:dyDescent="0.3">
      <c r="A32" s="78"/>
      <c r="C32" s="6">
        <v>19</v>
      </c>
      <c r="D32" s="5" t="str">
        <f>IF(VLOOKUP(C32,DSNV!$C$8:$N$48,3,FALSE)=0,"",VLOOKUP(C32,DSNV!$C$8:$N$48,3,FALSE))</f>
        <v>Bùi Hoàng Trung</v>
      </c>
      <c r="E32" s="4" t="str">
        <f>IF(VLOOKUP(C32,DSNV!$C$8:$N$48,8,FALSE)="","",VLOOKUP(C32,DSNV!$C$8:$N$48,8,FALSE))</f>
        <v>Thành viên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4">
        <f t="shared" si="2"/>
        <v>0</v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4">
        <f t="shared" si="3"/>
        <v>0</v>
      </c>
      <c r="BR32" s="4">
        <f t="shared" si="6"/>
        <v>0</v>
      </c>
      <c r="BS32" s="4"/>
      <c r="BT32" s="45">
        <f t="shared" si="4"/>
        <v>0</v>
      </c>
      <c r="BU32" s="7"/>
      <c r="BW32" s="78"/>
      <c r="BX32" s="78"/>
    </row>
    <row r="33" spans="1:76" ht="15" thickBot="1" x14ac:dyDescent="0.35">
      <c r="A33" s="78"/>
      <c r="C33" s="6">
        <v>20</v>
      </c>
      <c r="D33" s="5" t="str">
        <f>IF(VLOOKUP(C33,DSNV!$C$8:$N$48,3,FALSE)=0,"",VLOOKUP(C33,DSNV!$C$8:$N$48,3,FALSE))</f>
        <v>Ngô Trúc Tường Vy</v>
      </c>
      <c r="E33" s="4" t="str">
        <f>IF(VLOOKUP(C33,DSNV!$C$8:$N$48,8,FALSE)="","",VLOOKUP(C33,DSNV!$C$8:$N$48,8,FALSE))</f>
        <v>Trưởng ban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4">
        <f t="shared" si="2"/>
        <v>0</v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4">
        <f t="shared" si="3"/>
        <v>0</v>
      </c>
      <c r="BR33" s="4">
        <f t="shared" si="6"/>
        <v>0</v>
      </c>
      <c r="BS33" s="4"/>
      <c r="BT33" s="45">
        <f t="shared" si="4"/>
        <v>0</v>
      </c>
      <c r="BU33" s="7"/>
      <c r="BW33" s="78"/>
      <c r="BX33" s="78"/>
    </row>
    <row r="34" spans="1:76" ht="15" hidden="1" thickBot="1" x14ac:dyDescent="0.35">
      <c r="A34" s="78"/>
      <c r="C34" s="6">
        <v>21</v>
      </c>
      <c r="D34" s="5" t="str">
        <f>IF(VLOOKUP(C34,DSNV!$C$8:$N$48,3,FALSE)=0,"",VLOOKUP(C34,DSNV!$C$8:$N$48,3,FALSE))</f>
        <v/>
      </c>
      <c r="E34" s="4" t="str">
        <f>IF(VLOOKUP(C34,DSNV!$C$8:$N$48,8,FALSE)="","",VLOOKUP(C34,DSNV!$C$8:$N$48,8,FALSE))</f>
        <v/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4">
        <f t="shared" si="2"/>
        <v>0</v>
      </c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4">
        <f t="shared" si="3"/>
        <v>0</v>
      </c>
      <c r="BR34" s="4"/>
      <c r="BS34" s="4"/>
      <c r="BT34" s="45">
        <f t="shared" si="4"/>
        <v>0</v>
      </c>
      <c r="BU34" s="7"/>
      <c r="BW34" s="78"/>
      <c r="BX34" s="78"/>
    </row>
    <row r="35" spans="1:76" ht="15" hidden="1" thickBot="1" x14ac:dyDescent="0.35">
      <c r="A35" s="78"/>
      <c r="C35" s="6">
        <v>22</v>
      </c>
      <c r="D35" s="5" t="str">
        <f>IF(VLOOKUP(C35,DSNV!$C$8:$N$48,3,FALSE)=0,"",VLOOKUP(C35,DSNV!$C$8:$N$48,3,FALSE))</f>
        <v/>
      </c>
      <c r="E35" s="4" t="str">
        <f>IF(VLOOKUP(C35,DSNV!$C$8:$N$48,8,FALSE)="","",VLOOKUP(C35,DSNV!$C$8:$N$48,8,FALSE))</f>
        <v/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4">
        <f t="shared" si="2"/>
        <v>0</v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4">
        <f t="shared" si="3"/>
        <v>0</v>
      </c>
      <c r="BR35" s="4"/>
      <c r="BS35" s="4"/>
      <c r="BT35" s="45">
        <f t="shared" si="4"/>
        <v>0</v>
      </c>
      <c r="BU35" s="7"/>
      <c r="BW35" s="78"/>
      <c r="BX35" s="78"/>
    </row>
    <row r="36" spans="1:76" ht="15" hidden="1" thickBot="1" x14ac:dyDescent="0.35">
      <c r="A36" s="78"/>
      <c r="C36" s="6">
        <v>23</v>
      </c>
      <c r="D36" s="5" t="str">
        <f>IF(VLOOKUP(C36,DSNV!$C$8:$N$48,3,FALSE)=0,"",VLOOKUP(C36,DSNV!$C$8:$N$48,3,FALSE))</f>
        <v/>
      </c>
      <c r="E36" s="4" t="str">
        <f>IF(VLOOKUP(C36,DSNV!$C$8:$N$48,8,FALSE)="","",VLOOKUP(C36,DSNV!$C$8:$N$48,8,FALSE))</f>
        <v/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4">
        <f t="shared" si="2"/>
        <v>0</v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4">
        <f t="shared" si="3"/>
        <v>0</v>
      </c>
      <c r="BR36" s="4"/>
      <c r="BS36" s="4"/>
      <c r="BT36" s="45">
        <f t="shared" si="4"/>
        <v>0</v>
      </c>
      <c r="BU36" s="7"/>
      <c r="BW36" s="78"/>
      <c r="BX36" s="78"/>
    </row>
    <row r="37" spans="1:76" ht="15" hidden="1" thickBot="1" x14ac:dyDescent="0.35">
      <c r="A37" s="78"/>
      <c r="C37" s="6">
        <v>24</v>
      </c>
      <c r="D37" s="5" t="str">
        <f>IF(VLOOKUP(C37,DSNV!$C$8:$N$48,3,FALSE)=0,"",VLOOKUP(C37,DSNV!$C$8:$N$48,3,FALSE))</f>
        <v/>
      </c>
      <c r="E37" s="4" t="str">
        <f>IF(VLOOKUP(C37,DSNV!$C$8:$N$48,8,FALSE)="","",VLOOKUP(C37,DSNV!$C$8:$N$48,8,FALSE))</f>
        <v/>
      </c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4">
        <f t="shared" si="2"/>
        <v>0</v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4">
        <f t="shared" si="3"/>
        <v>0</v>
      </c>
      <c r="BR37" s="4"/>
      <c r="BS37" s="4"/>
      <c r="BT37" s="45">
        <f t="shared" si="4"/>
        <v>0</v>
      </c>
      <c r="BU37" s="7"/>
      <c r="BW37" s="78"/>
      <c r="BX37" s="78"/>
    </row>
    <row r="38" spans="1:76" ht="15" hidden="1" thickBot="1" x14ac:dyDescent="0.35">
      <c r="A38" s="78"/>
      <c r="C38" s="6">
        <v>25</v>
      </c>
      <c r="D38" s="5" t="str">
        <f>IF(VLOOKUP(C38,DSNV!$C$8:$N$48,3,FALSE)=0,"",VLOOKUP(C38,DSNV!$C$8:$N$48,3,FALSE))</f>
        <v/>
      </c>
      <c r="E38" s="4" t="str">
        <f>IF(VLOOKUP(C38,DSNV!$C$8:$N$48,8,FALSE)="","",VLOOKUP(C38,DSNV!$C$8:$N$48,8,FALSE))</f>
        <v/>
      </c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4">
        <f t="shared" si="2"/>
        <v>0</v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4">
        <f t="shared" si="3"/>
        <v>0</v>
      </c>
      <c r="BR38" s="4"/>
      <c r="BS38" s="4"/>
      <c r="BT38" s="45">
        <f t="shared" si="4"/>
        <v>0</v>
      </c>
      <c r="BU38" s="7"/>
      <c r="BW38" s="78"/>
      <c r="BX38" s="78"/>
    </row>
    <row r="39" spans="1:76" ht="15" hidden="1" thickBot="1" x14ac:dyDescent="0.35">
      <c r="A39" s="78"/>
      <c r="C39" s="6">
        <v>26</v>
      </c>
      <c r="D39" s="5" t="str">
        <f>IF(VLOOKUP(C39,DSNV!$C$8:$N$48,3,FALSE)=0,"",VLOOKUP(C39,DSNV!$C$8:$N$48,3,FALSE))</f>
        <v/>
      </c>
      <c r="E39" s="4" t="str">
        <f>IF(VLOOKUP(C39,DSNV!$C$8:$N$48,8,FALSE)="","",VLOOKUP(C39,DSNV!$C$8:$N$48,8,FALSE))</f>
        <v/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4">
        <f t="shared" si="2"/>
        <v>0</v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4">
        <f t="shared" si="3"/>
        <v>0</v>
      </c>
      <c r="BR39" s="4"/>
      <c r="BS39" s="4"/>
      <c r="BT39" s="45">
        <f t="shared" si="4"/>
        <v>0</v>
      </c>
      <c r="BU39" s="7"/>
      <c r="BW39" s="78"/>
      <c r="BX39" s="78"/>
    </row>
    <row r="40" spans="1:76" ht="15" hidden="1" thickBot="1" x14ac:dyDescent="0.35">
      <c r="A40" s="78"/>
      <c r="C40" s="6">
        <v>27</v>
      </c>
      <c r="D40" s="5" t="str">
        <f>IF(VLOOKUP(C40,DSNV!$C$8:$N$48,3,FALSE)=0,"",VLOOKUP(C40,DSNV!$C$8:$N$48,3,FALSE))</f>
        <v/>
      </c>
      <c r="E40" s="4" t="str">
        <f>IF(VLOOKUP(C40,DSNV!$C$8:$N$48,8,FALSE)="","",VLOOKUP(C40,DSNV!$C$8:$N$48,8,FALSE))</f>
        <v/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4">
        <f t="shared" si="2"/>
        <v>0</v>
      </c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4">
        <f t="shared" si="3"/>
        <v>0</v>
      </c>
      <c r="BR40" s="4"/>
      <c r="BS40" s="4"/>
      <c r="BT40" s="45">
        <f t="shared" si="4"/>
        <v>0</v>
      </c>
      <c r="BU40" s="7"/>
      <c r="BW40" s="78"/>
      <c r="BX40" s="78"/>
    </row>
    <row r="41" spans="1:76" ht="15" hidden="1" thickBot="1" x14ac:dyDescent="0.35">
      <c r="A41" s="78"/>
      <c r="C41" s="6">
        <v>28</v>
      </c>
      <c r="D41" s="5" t="str">
        <f>IF(VLOOKUP(C41,DSNV!$C$8:$N$48,3,FALSE)=0,"",VLOOKUP(C41,DSNV!$C$8:$N$48,3,FALSE))</f>
        <v/>
      </c>
      <c r="E41" s="4" t="str">
        <f>IF(VLOOKUP(C41,DSNV!$C$8:$N$48,8,FALSE)="","",VLOOKUP(C41,DSNV!$C$8:$N$48,8,FALSE))</f>
        <v/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4">
        <f t="shared" si="2"/>
        <v>0</v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4">
        <f t="shared" si="3"/>
        <v>0</v>
      </c>
      <c r="BR41" s="4"/>
      <c r="BS41" s="4"/>
      <c r="BT41" s="45">
        <f t="shared" si="4"/>
        <v>0</v>
      </c>
      <c r="BU41" s="7"/>
      <c r="BW41" s="78"/>
      <c r="BX41" s="78"/>
    </row>
    <row r="42" spans="1:76" ht="15" hidden="1" thickBot="1" x14ac:dyDescent="0.35">
      <c r="A42" s="78"/>
      <c r="C42" s="6">
        <v>29</v>
      </c>
      <c r="D42" s="5" t="str">
        <f>IF(VLOOKUP(C42,DSNV!$C$8:$N$48,3,FALSE)=0,"",VLOOKUP(C42,DSNV!$C$8:$N$48,3,FALSE))</f>
        <v/>
      </c>
      <c r="E42" s="4" t="str">
        <f>IF(VLOOKUP(C42,DSNV!$C$8:$N$48,8,FALSE)="","",VLOOKUP(C42,DSNV!$C$8:$N$48,8,FALSE))</f>
        <v/>
      </c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4">
        <f t="shared" si="2"/>
        <v>0</v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4">
        <f t="shared" si="3"/>
        <v>0</v>
      </c>
      <c r="BR42" s="4"/>
      <c r="BS42" s="4"/>
      <c r="BT42" s="45">
        <f t="shared" si="4"/>
        <v>0</v>
      </c>
      <c r="BU42" s="7"/>
      <c r="BW42" s="78"/>
      <c r="BX42" s="78"/>
    </row>
    <row r="43" spans="1:76" ht="15" hidden="1" thickBot="1" x14ac:dyDescent="0.35">
      <c r="A43" s="78"/>
      <c r="C43" s="6">
        <v>30</v>
      </c>
      <c r="D43" s="5" t="str">
        <f>IF(VLOOKUP(C43,DSNV!$C$8:$N$48,3,FALSE)=0,"",VLOOKUP(C43,DSNV!$C$8:$N$48,3,FALSE))</f>
        <v/>
      </c>
      <c r="E43" s="4" t="str">
        <f>IF(VLOOKUP(C43,DSNV!$C$8:$N$48,8,FALSE)="","",VLOOKUP(C43,DSNV!$C$8:$N$48,8,FALSE))</f>
        <v/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4">
        <f t="shared" si="2"/>
        <v>0</v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4">
        <f t="shared" si="3"/>
        <v>0</v>
      </c>
      <c r="BR43" s="4"/>
      <c r="BS43" s="4"/>
      <c r="BT43" s="45">
        <f t="shared" si="4"/>
        <v>0</v>
      </c>
      <c r="BU43" s="7"/>
      <c r="BW43" s="78"/>
      <c r="BX43" s="78"/>
    </row>
    <row r="44" spans="1:76" ht="15" hidden="1" thickBot="1" x14ac:dyDescent="0.35">
      <c r="A44" s="78"/>
      <c r="C44" s="6">
        <v>31</v>
      </c>
      <c r="D44" s="5" t="str">
        <f>IF(VLOOKUP(C44,DSNV!$C$8:$N$48,3,FALSE)=0,"",VLOOKUP(C44,DSNV!$C$8:$N$48,3,FALSE))</f>
        <v/>
      </c>
      <c r="E44" s="4" t="str">
        <f>IF(VLOOKUP(C44,DSNV!$C$8:$N$48,8,FALSE)="","",VLOOKUP(C44,DSNV!$C$8:$N$48,8,FALSE))</f>
        <v/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4">
        <f t="shared" si="2"/>
        <v>0</v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4">
        <f t="shared" si="3"/>
        <v>0</v>
      </c>
      <c r="BR44" s="4"/>
      <c r="BS44" s="4"/>
      <c r="BT44" s="45">
        <f t="shared" si="4"/>
        <v>0</v>
      </c>
      <c r="BU44" s="7"/>
      <c r="BW44" s="78"/>
      <c r="BX44" s="78"/>
    </row>
    <row r="45" spans="1:76" ht="15" hidden="1" thickBot="1" x14ac:dyDescent="0.35">
      <c r="A45" s="78"/>
      <c r="C45" s="6">
        <v>32</v>
      </c>
      <c r="D45" s="5" t="str">
        <f>IF(VLOOKUP(C45,DSNV!$C$8:$N$48,3,FALSE)=0,"",VLOOKUP(C45,DSNV!$C$8:$N$48,3,FALSE))</f>
        <v/>
      </c>
      <c r="E45" s="4" t="str">
        <f>IF(VLOOKUP(C45,DSNV!$C$8:$N$48,8,FALSE)="","",VLOOKUP(C45,DSNV!$C$8:$N$48,8,FALSE))</f>
        <v/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4">
        <f t="shared" si="2"/>
        <v>0</v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4">
        <f t="shared" si="3"/>
        <v>0</v>
      </c>
      <c r="BR45" s="4"/>
      <c r="BS45" s="4"/>
      <c r="BT45" s="45">
        <f t="shared" si="4"/>
        <v>0</v>
      </c>
      <c r="BU45" s="7"/>
      <c r="BW45" s="78"/>
      <c r="BX45" s="78"/>
    </row>
    <row r="46" spans="1:76" ht="15" hidden="1" thickBot="1" x14ac:dyDescent="0.35">
      <c r="A46" s="78"/>
      <c r="C46" s="6">
        <v>33</v>
      </c>
      <c r="D46" s="5" t="str">
        <f>IF(VLOOKUP(C46,DSNV!$C$8:$N$48,3,FALSE)=0,"",VLOOKUP(C46,DSNV!$C$8:$N$48,3,FALSE))</f>
        <v/>
      </c>
      <c r="E46" s="4" t="str">
        <f>IF(VLOOKUP(C46,DSNV!$C$8:$N$48,8,FALSE)="","",VLOOKUP(C46,DSNV!$C$8:$N$48,8,FALSE))</f>
        <v/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4">
        <f t="shared" si="2"/>
        <v>0</v>
      </c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4">
        <f t="shared" si="3"/>
        <v>0</v>
      </c>
      <c r="BR46" s="4"/>
      <c r="BS46" s="4"/>
      <c r="BT46" s="45">
        <f t="shared" si="4"/>
        <v>0</v>
      </c>
      <c r="BU46" s="7"/>
      <c r="BW46" s="78"/>
      <c r="BX46" s="78"/>
    </row>
    <row r="47" spans="1:76" ht="15" hidden="1" thickBot="1" x14ac:dyDescent="0.35">
      <c r="A47" s="78"/>
      <c r="C47" s="6">
        <v>34</v>
      </c>
      <c r="D47" s="5" t="str">
        <f>IF(VLOOKUP(C47,DSNV!$C$8:$N$48,3,FALSE)=0,"",VLOOKUP(C47,DSNV!$C$8:$N$48,3,FALSE))</f>
        <v/>
      </c>
      <c r="E47" s="4" t="str">
        <f>IF(VLOOKUP(C47,DSNV!$C$8:$N$48,8,FALSE)="","",VLOOKUP(C47,DSNV!$C$8:$N$48,8,FALSE))</f>
        <v/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4">
        <f t="shared" si="2"/>
        <v>0</v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4">
        <f t="shared" si="3"/>
        <v>0</v>
      </c>
      <c r="BR47" s="4"/>
      <c r="BS47" s="4"/>
      <c r="BT47" s="45">
        <f t="shared" si="4"/>
        <v>0</v>
      </c>
      <c r="BU47" s="7"/>
      <c r="BW47" s="78"/>
      <c r="BX47" s="78"/>
    </row>
    <row r="48" spans="1:76" ht="15" hidden="1" thickBot="1" x14ac:dyDescent="0.35">
      <c r="A48" s="78"/>
      <c r="C48" s="6">
        <v>35</v>
      </c>
      <c r="D48" s="5" t="str">
        <f>IF(VLOOKUP(C48,DSNV!$C$8:$N$48,3,FALSE)=0,"",VLOOKUP(C48,DSNV!$C$8:$N$48,3,FALSE))</f>
        <v/>
      </c>
      <c r="E48" s="4" t="str">
        <f>IF(VLOOKUP(C48,DSNV!$C$8:$N$48,8,FALSE)="","",VLOOKUP(C48,DSNV!$C$8:$N$48,8,FALSE))</f>
        <v/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4">
        <f t="shared" si="2"/>
        <v>0</v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4">
        <f t="shared" si="3"/>
        <v>0</v>
      </c>
      <c r="BR48" s="4"/>
      <c r="BS48" s="4"/>
      <c r="BT48" s="45">
        <f t="shared" si="4"/>
        <v>0</v>
      </c>
      <c r="BU48" s="7"/>
      <c r="BW48" s="78"/>
      <c r="BX48" s="78"/>
    </row>
    <row r="49" spans="1:76" ht="15" hidden="1" thickBot="1" x14ac:dyDescent="0.35">
      <c r="A49" s="78"/>
      <c r="C49" s="6">
        <v>36</v>
      </c>
      <c r="D49" s="5" t="str">
        <f>IF(VLOOKUP(C49,DSNV!$C$8:$N$48,3,FALSE)=0,"",VLOOKUP(C49,DSNV!$C$8:$N$48,3,FALSE))</f>
        <v/>
      </c>
      <c r="E49" s="4" t="str">
        <f>IF(VLOOKUP(C49,DSNV!$C$8:$N$48,8,FALSE)="","",VLOOKUP(C49,DSNV!$C$8:$N$48,8,FALSE))</f>
        <v/>
      </c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4">
        <f t="shared" si="2"/>
        <v>0</v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4">
        <f t="shared" si="3"/>
        <v>0</v>
      </c>
      <c r="BR49" s="4"/>
      <c r="BS49" s="4"/>
      <c r="BT49" s="45">
        <f t="shared" si="4"/>
        <v>0</v>
      </c>
      <c r="BU49" s="7"/>
      <c r="BW49" s="78"/>
      <c r="BX49" s="78"/>
    </row>
    <row r="50" spans="1:76" ht="15" hidden="1" thickBot="1" x14ac:dyDescent="0.35">
      <c r="A50" s="78"/>
      <c r="C50" s="6">
        <v>37</v>
      </c>
      <c r="D50" s="5" t="str">
        <f>IF(VLOOKUP(C50,DSNV!$C$8:$N$48,3,FALSE)=0,"",VLOOKUP(C50,DSNV!$C$8:$N$48,3,FALSE))</f>
        <v/>
      </c>
      <c r="E50" s="4" t="str">
        <f>IF(VLOOKUP(C50,DSNV!$C$8:$N$48,8,FALSE)="","",VLOOKUP(C50,DSNV!$C$8:$N$48,8,FALSE))</f>
        <v/>
      </c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4">
        <f t="shared" si="2"/>
        <v>0</v>
      </c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4">
        <f t="shared" si="3"/>
        <v>0</v>
      </c>
      <c r="BR50" s="4"/>
      <c r="BS50" s="4"/>
      <c r="BT50" s="45">
        <f t="shared" si="4"/>
        <v>0</v>
      </c>
      <c r="BU50" s="7"/>
      <c r="BW50" s="78"/>
      <c r="BX50" s="78"/>
    </row>
    <row r="51" spans="1:76" ht="15" hidden="1" thickBot="1" x14ac:dyDescent="0.35">
      <c r="A51" s="78"/>
      <c r="C51" s="6">
        <v>38</v>
      </c>
      <c r="D51" s="5" t="str">
        <f>IF(VLOOKUP(C51,DSNV!$C$8:$N$48,3,FALSE)=0,"",VLOOKUP(C51,DSNV!$C$8:$N$48,3,FALSE))</f>
        <v/>
      </c>
      <c r="E51" s="4" t="str">
        <f>IF(VLOOKUP(C51,DSNV!$C$8:$N$48,8,FALSE)="","",VLOOKUP(C51,DSNV!$C$8:$N$48,8,FALSE))</f>
        <v/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4">
        <f t="shared" si="2"/>
        <v>0</v>
      </c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4">
        <f t="shared" si="3"/>
        <v>0</v>
      </c>
      <c r="BR51" s="4"/>
      <c r="BS51" s="4"/>
      <c r="BT51" s="45">
        <f t="shared" si="4"/>
        <v>0</v>
      </c>
      <c r="BU51" s="7"/>
      <c r="BW51" s="78"/>
      <c r="BX51" s="78"/>
    </row>
    <row r="52" spans="1:76" ht="15" hidden="1" thickBot="1" x14ac:dyDescent="0.35">
      <c r="A52" s="78"/>
      <c r="C52" s="6">
        <v>39</v>
      </c>
      <c r="D52" s="5" t="str">
        <f>IF(VLOOKUP(C52,DSNV!$C$8:$N$48,3,FALSE)=0,"",VLOOKUP(C52,DSNV!$C$8:$N$48,3,FALSE))</f>
        <v/>
      </c>
      <c r="E52" s="4" t="str">
        <f>IF(VLOOKUP(C52,DSNV!$C$8:$N$48,8,FALSE)="","",VLOOKUP(C52,DSNV!$C$8:$N$48,8,FALSE))</f>
        <v/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4">
        <f t="shared" si="2"/>
        <v>0</v>
      </c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4">
        <f t="shared" si="3"/>
        <v>0</v>
      </c>
      <c r="BR52" s="4"/>
      <c r="BS52" s="4"/>
      <c r="BT52" s="45">
        <f t="shared" si="4"/>
        <v>0</v>
      </c>
      <c r="BU52" s="7"/>
      <c r="BW52" s="78"/>
      <c r="BX52" s="78"/>
    </row>
    <row r="53" spans="1:76" ht="15" hidden="1" thickBot="1" x14ac:dyDescent="0.35">
      <c r="A53" s="78"/>
      <c r="C53" s="14">
        <v>40</v>
      </c>
      <c r="D53" s="5" t="str">
        <f>IF(VLOOKUP(C53,DSNV!$C$8:$N$48,3,FALSE)=0,"",VLOOKUP(C53,DSNV!$C$8:$N$48,3,FALSE))</f>
        <v/>
      </c>
      <c r="E53" s="4" t="str">
        <f>IF(VLOOKUP(C53,DSNV!$C$8:$N$48,8,FALSE)="","",VLOOKUP(C53,DSNV!$C$8:$N$48,8,FALSE))</f>
        <v/>
      </c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4">
        <f t="shared" si="2"/>
        <v>0</v>
      </c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4">
        <f t="shared" si="3"/>
        <v>0</v>
      </c>
      <c r="BR53" s="4"/>
      <c r="BS53" s="4"/>
      <c r="BT53" s="45">
        <f t="shared" si="4"/>
        <v>0</v>
      </c>
      <c r="BU53" s="15"/>
      <c r="BW53" s="78"/>
      <c r="BX53" s="78"/>
    </row>
    <row r="54" spans="1:76" ht="15" thickBot="1" x14ac:dyDescent="0.35">
      <c r="A54" s="78"/>
      <c r="C54" s="121" t="s">
        <v>53</v>
      </c>
      <c r="D54" s="121"/>
      <c r="E54" s="121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37">
        <f>SUM(AK14:AK53)</f>
        <v>0</v>
      </c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37">
        <f>SUM(BQ14:BQ53)</f>
        <v>0</v>
      </c>
      <c r="BR54" s="37">
        <f t="shared" ref="BR54:BS54" si="7">SUM(BR14:BR53)</f>
        <v>0</v>
      </c>
      <c r="BS54" s="37">
        <f t="shared" si="7"/>
        <v>0</v>
      </c>
      <c r="BT54" s="37">
        <f>SUM(BT14:BT53)</f>
        <v>0</v>
      </c>
      <c r="BU54" s="17"/>
      <c r="BW54" s="78"/>
      <c r="BX54" s="78"/>
    </row>
    <row r="55" spans="1:76" x14ac:dyDescent="0.3">
      <c r="A55" s="78"/>
      <c r="BW55" s="78"/>
      <c r="BX55" s="78"/>
    </row>
    <row r="56" spans="1:76" x14ac:dyDescent="0.3">
      <c r="A56" s="78"/>
      <c r="BW56" s="78"/>
      <c r="BX56" s="78"/>
    </row>
    <row r="57" spans="1:76" x14ac:dyDescent="0.3">
      <c r="A57" s="78"/>
      <c r="B57" s="78"/>
      <c r="C57" s="77"/>
      <c r="D57" s="78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  <c r="AW57" s="77"/>
      <c r="AX57" s="77"/>
      <c r="AY57" s="77"/>
      <c r="AZ57" s="77"/>
      <c r="BA57" s="77"/>
      <c r="BB57" s="77"/>
      <c r="BC57" s="77"/>
      <c r="BD57" s="77"/>
      <c r="BE57" s="77"/>
      <c r="BF57" s="77"/>
      <c r="BG57" s="77"/>
      <c r="BH57" s="77"/>
      <c r="BI57" s="77"/>
      <c r="BJ57" s="77"/>
      <c r="BK57" s="77"/>
      <c r="BL57" s="77"/>
      <c r="BM57" s="77"/>
      <c r="BN57" s="77"/>
      <c r="BO57" s="77"/>
      <c r="BP57" s="77"/>
      <c r="BQ57" s="77"/>
      <c r="BR57" s="77"/>
      <c r="BS57" s="77"/>
      <c r="BT57" s="77"/>
      <c r="BU57" s="78"/>
      <c r="BV57" s="78"/>
      <c r="BW57" s="78"/>
      <c r="BX57" s="78"/>
    </row>
    <row r="58" spans="1:76" x14ac:dyDescent="0.3">
      <c r="A58" s="78"/>
      <c r="B58" s="78"/>
      <c r="C58" s="77"/>
      <c r="D58" s="78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7"/>
      <c r="AL58" s="77"/>
      <c r="AM58" s="77"/>
      <c r="AN58" s="77"/>
      <c r="AO58" s="77"/>
      <c r="AP58" s="77"/>
      <c r="AQ58" s="77"/>
      <c r="AR58" s="77"/>
      <c r="AS58" s="77"/>
      <c r="AT58" s="77"/>
      <c r="AU58" s="77"/>
      <c r="AV58" s="77"/>
      <c r="AW58" s="77"/>
      <c r="AX58" s="77"/>
      <c r="AY58" s="77"/>
      <c r="AZ58" s="77"/>
      <c r="BA58" s="77"/>
      <c r="BB58" s="77"/>
      <c r="BC58" s="77"/>
      <c r="BD58" s="77"/>
      <c r="BE58" s="77"/>
      <c r="BF58" s="77"/>
      <c r="BG58" s="77"/>
      <c r="BH58" s="77"/>
      <c r="BI58" s="77"/>
      <c r="BJ58" s="77"/>
      <c r="BK58" s="77"/>
      <c r="BL58" s="77"/>
      <c r="BM58" s="77"/>
      <c r="BN58" s="77"/>
      <c r="BO58" s="77"/>
      <c r="BP58" s="77"/>
      <c r="BQ58" s="77"/>
      <c r="BR58" s="77"/>
      <c r="BS58" s="77"/>
      <c r="BT58" s="77"/>
      <c r="BU58" s="78"/>
      <c r="BV58" s="78"/>
      <c r="BW58" s="78"/>
      <c r="BX58" s="78"/>
    </row>
    <row r="59" spans="1:76" x14ac:dyDescent="0.3">
      <c r="A59" s="78"/>
      <c r="B59" s="78"/>
      <c r="C59" s="77"/>
      <c r="D59" s="78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  <c r="AI59" s="77"/>
      <c r="AJ59" s="77"/>
      <c r="AK59" s="77"/>
      <c r="AL59" s="77"/>
      <c r="AM59" s="77"/>
      <c r="AN59" s="77"/>
      <c r="AO59" s="77"/>
      <c r="AP59" s="77"/>
      <c r="AQ59" s="77"/>
      <c r="AR59" s="77"/>
      <c r="AS59" s="77"/>
      <c r="AT59" s="77"/>
      <c r="AU59" s="77"/>
      <c r="AV59" s="77"/>
      <c r="AW59" s="77"/>
      <c r="AX59" s="77"/>
      <c r="AY59" s="77"/>
      <c r="AZ59" s="77"/>
      <c r="BA59" s="77"/>
      <c r="BB59" s="77"/>
      <c r="BC59" s="77"/>
      <c r="BD59" s="77"/>
      <c r="BE59" s="77"/>
      <c r="BF59" s="77"/>
      <c r="BG59" s="77"/>
      <c r="BH59" s="77"/>
      <c r="BI59" s="77"/>
      <c r="BJ59" s="77"/>
      <c r="BK59" s="77"/>
      <c r="BL59" s="77"/>
      <c r="BM59" s="77"/>
      <c r="BN59" s="77"/>
      <c r="BO59" s="77"/>
      <c r="BP59" s="77"/>
      <c r="BQ59" s="77"/>
      <c r="BR59" s="77"/>
      <c r="BS59" s="77"/>
      <c r="BT59" s="77"/>
      <c r="BU59" s="78"/>
      <c r="BV59" s="78"/>
      <c r="BW59" s="78"/>
      <c r="BX59" s="78"/>
    </row>
    <row r="60" spans="1:76" hidden="1" x14ac:dyDescent="0.3">
      <c r="A60" s="78"/>
    </row>
  </sheetData>
  <autoFilter ref="C11:BU54" xr:uid="{5B728C7B-9475-4B02-8B4D-6C91ABA364A6}"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</autoFilter>
  <mergeCells count="12">
    <mergeCell ref="BQ11:BQ13"/>
    <mergeCell ref="BT11:BT13"/>
    <mergeCell ref="BU11:BU13"/>
    <mergeCell ref="C54:E54"/>
    <mergeCell ref="BR11:BR13"/>
    <mergeCell ref="BS11:BS13"/>
    <mergeCell ref="C11:C13"/>
    <mergeCell ref="D11:D13"/>
    <mergeCell ref="E11:E13"/>
    <mergeCell ref="F11:AJ11"/>
    <mergeCell ref="AK11:AK13"/>
    <mergeCell ref="AL11:BP11"/>
  </mergeCells>
  <conditionalFormatting sqref="F12:AJ54 AL12:BP54">
    <cfRule type="expression" dxfId="16" priority="3">
      <formula>OR(WEEKDAY($D$1+F$12)=1,WEEKDAY($D$1+F$12)=7)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49E5B-02F2-4E83-843A-D1902FB9BFE0}">
  <sheetPr codeName="Sheet13"/>
  <dimension ref="A1:BX59"/>
  <sheetViews>
    <sheetView showGridLines="0" showRowColHeaders="0" workbookViewId="0">
      <pane xSplit="5" ySplit="13" topLeftCell="F14" activePane="bottomRight" state="frozen"/>
      <selection pane="topRight" activeCell="F1" sqref="F1"/>
      <selection pane="bottomLeft" activeCell="A14" sqref="A14"/>
      <selection pane="bottomRight"/>
    </sheetView>
  </sheetViews>
  <sheetFormatPr defaultColWidth="0" defaultRowHeight="14.4" zeroHeight="1" x14ac:dyDescent="0.3"/>
  <cols>
    <col min="1" max="1" width="8.88671875" style="2" customWidth="1"/>
    <col min="2" max="2" width="3.33203125" style="2" customWidth="1"/>
    <col min="3" max="3" width="5.21875" style="3" customWidth="1"/>
    <col min="4" max="4" width="23" style="2" bestFit="1" customWidth="1"/>
    <col min="5" max="5" width="12" style="3" customWidth="1"/>
    <col min="6" max="36" width="3.44140625" style="3" bestFit="1" customWidth="1"/>
    <col min="37" max="37" width="6.77734375" style="3" customWidth="1"/>
    <col min="38" max="68" width="3.44140625" style="3" bestFit="1" customWidth="1"/>
    <col min="69" max="72" width="6.77734375" style="3" customWidth="1"/>
    <col min="73" max="73" width="9.88671875" style="2" customWidth="1"/>
    <col min="74" max="74" width="3.33203125" style="2" customWidth="1"/>
    <col min="75" max="75" width="8.88671875" style="2" customWidth="1"/>
    <col min="76" max="76" width="8.88671875" style="2" hidden="1" customWidth="1"/>
    <col min="77" max="16384" width="8.88671875" style="2" hidden="1"/>
  </cols>
  <sheetData>
    <row r="1" spans="1:76" s="104" customFormat="1" x14ac:dyDescent="0.3">
      <c r="C1" s="105"/>
      <c r="D1" s="106">
        <f>D2-1</f>
        <v>44439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</row>
    <row r="2" spans="1:76" s="104" customFormat="1" x14ac:dyDescent="0.3">
      <c r="C2" s="105"/>
      <c r="D2" s="107" t="str">
        <f>"01/09/"&amp;E9</f>
        <v>01/09/2021</v>
      </c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105"/>
      <c r="BP2" s="105"/>
      <c r="BQ2" s="105"/>
      <c r="BR2" s="105"/>
      <c r="BS2" s="105"/>
      <c r="BT2" s="105"/>
    </row>
    <row r="3" spans="1:76" s="110" customFormat="1" x14ac:dyDescent="0.3">
      <c r="C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1"/>
      <c r="AU3" s="111"/>
      <c r="AV3" s="111"/>
      <c r="AW3" s="111"/>
      <c r="AX3" s="111"/>
      <c r="AY3" s="111"/>
      <c r="AZ3" s="111"/>
      <c r="BA3" s="111"/>
      <c r="BB3" s="111"/>
      <c r="BC3" s="111"/>
      <c r="BD3" s="111"/>
      <c r="BE3" s="111"/>
      <c r="BF3" s="111"/>
      <c r="BG3" s="111"/>
      <c r="BH3" s="111"/>
      <c r="BI3" s="111"/>
      <c r="BJ3" s="111"/>
      <c r="BK3" s="111"/>
      <c r="BL3" s="111"/>
      <c r="BM3" s="111"/>
      <c r="BN3" s="111"/>
      <c r="BO3" s="111"/>
      <c r="BP3" s="111"/>
      <c r="BQ3" s="111"/>
      <c r="BR3" s="111"/>
      <c r="BS3" s="111"/>
      <c r="BT3" s="111"/>
    </row>
    <row r="4" spans="1:76" x14ac:dyDescent="0.3">
      <c r="A4" s="78"/>
      <c r="B4" s="78"/>
      <c r="C4" s="77"/>
      <c r="D4" s="79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  <c r="BC4" s="77"/>
      <c r="BD4" s="77"/>
      <c r="BE4" s="77"/>
      <c r="BF4" s="77"/>
      <c r="BG4" s="77"/>
      <c r="BH4" s="77"/>
      <c r="BI4" s="77"/>
      <c r="BJ4" s="77"/>
      <c r="BK4" s="77"/>
      <c r="BL4" s="77"/>
      <c r="BM4" s="77"/>
      <c r="BN4" s="77"/>
      <c r="BO4" s="77"/>
      <c r="BP4" s="77"/>
      <c r="BQ4" s="77"/>
      <c r="BR4" s="77"/>
      <c r="BS4" s="77"/>
      <c r="BT4" s="77"/>
      <c r="BU4" s="78"/>
      <c r="BV4" s="78"/>
      <c r="BW4" s="78"/>
      <c r="BX4" s="78"/>
    </row>
    <row r="5" spans="1:76" x14ac:dyDescent="0.3">
      <c r="A5" s="78"/>
      <c r="BW5" s="78"/>
      <c r="BX5" s="78"/>
    </row>
    <row r="6" spans="1:76" x14ac:dyDescent="0.3">
      <c r="A6" s="78"/>
      <c r="D6" s="41" t="s">
        <v>49</v>
      </c>
      <c r="E6" s="42">
        <f>COUNTIFS(F13:AJ13,"&gt;1",F13:AJ13,"&lt;7")</f>
        <v>22</v>
      </c>
      <c r="BW6" s="78"/>
      <c r="BX6" s="78"/>
    </row>
    <row r="7" spans="1:76" x14ac:dyDescent="0.3">
      <c r="A7" s="78"/>
      <c r="C7" s="1"/>
      <c r="D7" s="1"/>
      <c r="BW7" s="78"/>
      <c r="BX7" s="78"/>
    </row>
    <row r="8" spans="1:76" ht="25.8" x14ac:dyDescent="0.5">
      <c r="A8" s="78"/>
      <c r="D8" s="39" t="s">
        <v>50</v>
      </c>
      <c r="E8" s="39"/>
      <c r="BW8" s="78"/>
      <c r="BX8" s="78"/>
    </row>
    <row r="9" spans="1:76" x14ac:dyDescent="0.3">
      <c r="A9" s="78"/>
      <c r="D9" s="40" t="s">
        <v>95</v>
      </c>
      <c r="E9" s="1">
        <v>2021</v>
      </c>
      <c r="BW9" s="78"/>
      <c r="BX9" s="78"/>
    </row>
    <row r="10" spans="1:76" x14ac:dyDescent="0.3">
      <c r="A10" s="78"/>
      <c r="BW10" s="78"/>
      <c r="BX10" s="78"/>
    </row>
    <row r="11" spans="1:76" ht="13.8" customHeight="1" x14ac:dyDescent="0.3">
      <c r="A11" s="78"/>
      <c r="C11" s="120" t="s">
        <v>1</v>
      </c>
      <c r="D11" s="120" t="s">
        <v>2</v>
      </c>
      <c r="E11" s="120" t="s">
        <v>6</v>
      </c>
      <c r="F11" s="120" t="s">
        <v>51</v>
      </c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/>
      <c r="AK11" s="119" t="s">
        <v>54</v>
      </c>
      <c r="AL11" s="120" t="s">
        <v>52</v>
      </c>
      <c r="AM11" s="120"/>
      <c r="AN11" s="120"/>
      <c r="AO11" s="120"/>
      <c r="AP11" s="120"/>
      <c r="AQ11" s="120"/>
      <c r="AR11" s="120"/>
      <c r="AS11" s="120"/>
      <c r="AT11" s="120"/>
      <c r="AU11" s="120"/>
      <c r="AV11" s="120"/>
      <c r="AW11" s="120"/>
      <c r="AX11" s="120"/>
      <c r="AY11" s="120"/>
      <c r="AZ11" s="120"/>
      <c r="BA11" s="120"/>
      <c r="BB11" s="120"/>
      <c r="BC11" s="120"/>
      <c r="BD11" s="120"/>
      <c r="BE11" s="120"/>
      <c r="BF11" s="120"/>
      <c r="BG11" s="120"/>
      <c r="BH11" s="120"/>
      <c r="BI11" s="120"/>
      <c r="BJ11" s="120"/>
      <c r="BK11" s="120"/>
      <c r="BL11" s="120"/>
      <c r="BM11" s="120"/>
      <c r="BN11" s="120"/>
      <c r="BO11" s="120"/>
      <c r="BP11" s="120"/>
      <c r="BQ11" s="119" t="s">
        <v>112</v>
      </c>
      <c r="BR11" s="122" t="s">
        <v>113</v>
      </c>
      <c r="BS11" s="122" t="s">
        <v>114</v>
      </c>
      <c r="BT11" s="119" t="s">
        <v>53</v>
      </c>
      <c r="BU11" s="120" t="s">
        <v>8</v>
      </c>
      <c r="BW11" s="78"/>
      <c r="BX11" s="78"/>
    </row>
    <row r="12" spans="1:76" x14ac:dyDescent="0.3">
      <c r="A12" s="78"/>
      <c r="C12" s="120"/>
      <c r="D12" s="120"/>
      <c r="E12" s="120"/>
      <c r="F12" s="18">
        <v>1</v>
      </c>
      <c r="G12" s="18">
        <v>2</v>
      </c>
      <c r="H12" s="18">
        <v>3</v>
      </c>
      <c r="I12" s="18">
        <v>4</v>
      </c>
      <c r="J12" s="18">
        <v>5</v>
      </c>
      <c r="K12" s="18">
        <v>6</v>
      </c>
      <c r="L12" s="18">
        <v>7</v>
      </c>
      <c r="M12" s="18">
        <v>8</v>
      </c>
      <c r="N12" s="18">
        <v>9</v>
      </c>
      <c r="O12" s="18">
        <v>10</v>
      </c>
      <c r="P12" s="18">
        <v>11</v>
      </c>
      <c r="Q12" s="18">
        <v>12</v>
      </c>
      <c r="R12" s="18">
        <v>13</v>
      </c>
      <c r="S12" s="18">
        <v>14</v>
      </c>
      <c r="T12" s="18">
        <v>15</v>
      </c>
      <c r="U12" s="18">
        <v>16</v>
      </c>
      <c r="V12" s="18">
        <v>17</v>
      </c>
      <c r="W12" s="18">
        <v>18</v>
      </c>
      <c r="X12" s="18">
        <v>19</v>
      </c>
      <c r="Y12" s="18">
        <v>20</v>
      </c>
      <c r="Z12" s="18">
        <v>21</v>
      </c>
      <c r="AA12" s="18">
        <v>22</v>
      </c>
      <c r="AB12" s="18">
        <v>23</v>
      </c>
      <c r="AC12" s="18">
        <v>24</v>
      </c>
      <c r="AD12" s="18">
        <v>25</v>
      </c>
      <c r="AE12" s="18">
        <v>26</v>
      </c>
      <c r="AF12" s="18">
        <v>27</v>
      </c>
      <c r="AG12" s="18">
        <v>28</v>
      </c>
      <c r="AH12" s="18">
        <v>29</v>
      </c>
      <c r="AI12" s="18">
        <v>30</v>
      </c>
      <c r="AJ12" s="18"/>
      <c r="AK12" s="119"/>
      <c r="AL12" s="18">
        <v>1</v>
      </c>
      <c r="AM12" s="18">
        <v>2</v>
      </c>
      <c r="AN12" s="18">
        <v>3</v>
      </c>
      <c r="AO12" s="18">
        <v>4</v>
      </c>
      <c r="AP12" s="18">
        <v>5</v>
      </c>
      <c r="AQ12" s="18">
        <v>6</v>
      </c>
      <c r="AR12" s="18">
        <v>7</v>
      </c>
      <c r="AS12" s="18">
        <v>8</v>
      </c>
      <c r="AT12" s="18">
        <v>9</v>
      </c>
      <c r="AU12" s="18">
        <v>10</v>
      </c>
      <c r="AV12" s="18">
        <v>11</v>
      </c>
      <c r="AW12" s="18">
        <v>12</v>
      </c>
      <c r="AX12" s="18">
        <v>13</v>
      </c>
      <c r="AY12" s="18">
        <v>14</v>
      </c>
      <c r="AZ12" s="18">
        <v>15</v>
      </c>
      <c r="BA12" s="18">
        <v>16</v>
      </c>
      <c r="BB12" s="18">
        <v>17</v>
      </c>
      <c r="BC12" s="18">
        <v>18</v>
      </c>
      <c r="BD12" s="18">
        <v>19</v>
      </c>
      <c r="BE12" s="18">
        <v>20</v>
      </c>
      <c r="BF12" s="18">
        <v>21</v>
      </c>
      <c r="BG12" s="18">
        <v>22</v>
      </c>
      <c r="BH12" s="18">
        <v>23</v>
      </c>
      <c r="BI12" s="18">
        <v>24</v>
      </c>
      <c r="BJ12" s="18">
        <v>25</v>
      </c>
      <c r="BK12" s="18">
        <v>26</v>
      </c>
      <c r="BL12" s="18">
        <v>27</v>
      </c>
      <c r="BM12" s="18">
        <v>28</v>
      </c>
      <c r="BN12" s="18">
        <v>29</v>
      </c>
      <c r="BO12" s="18">
        <v>30</v>
      </c>
      <c r="BP12" s="18"/>
      <c r="BQ12" s="119"/>
      <c r="BR12" s="123"/>
      <c r="BS12" s="123"/>
      <c r="BT12" s="119"/>
      <c r="BU12" s="120"/>
      <c r="BW12" s="78"/>
      <c r="BX12" s="78"/>
    </row>
    <row r="13" spans="1:76" ht="25.8" x14ac:dyDescent="0.3">
      <c r="A13" s="78"/>
      <c r="C13" s="120"/>
      <c r="D13" s="120"/>
      <c r="E13" s="120"/>
      <c r="F13" s="38">
        <f>WEEKDAY($D$1+F12)</f>
        <v>4</v>
      </c>
      <c r="G13" s="38">
        <f t="shared" ref="G13:AI13" si="0">WEEKDAY($D$1+G12)</f>
        <v>5</v>
      </c>
      <c r="H13" s="38">
        <f t="shared" si="0"/>
        <v>6</v>
      </c>
      <c r="I13" s="38">
        <f t="shared" si="0"/>
        <v>7</v>
      </c>
      <c r="J13" s="38">
        <f t="shared" si="0"/>
        <v>1</v>
      </c>
      <c r="K13" s="38">
        <f t="shared" si="0"/>
        <v>2</v>
      </c>
      <c r="L13" s="38">
        <f t="shared" si="0"/>
        <v>3</v>
      </c>
      <c r="M13" s="38">
        <f t="shared" si="0"/>
        <v>4</v>
      </c>
      <c r="N13" s="38">
        <f t="shared" si="0"/>
        <v>5</v>
      </c>
      <c r="O13" s="38">
        <f t="shared" si="0"/>
        <v>6</v>
      </c>
      <c r="P13" s="38">
        <f t="shared" si="0"/>
        <v>7</v>
      </c>
      <c r="Q13" s="38">
        <f t="shared" si="0"/>
        <v>1</v>
      </c>
      <c r="R13" s="38">
        <f t="shared" si="0"/>
        <v>2</v>
      </c>
      <c r="S13" s="38">
        <f t="shared" si="0"/>
        <v>3</v>
      </c>
      <c r="T13" s="38">
        <f t="shared" si="0"/>
        <v>4</v>
      </c>
      <c r="U13" s="38">
        <f t="shared" si="0"/>
        <v>5</v>
      </c>
      <c r="V13" s="38">
        <f t="shared" si="0"/>
        <v>6</v>
      </c>
      <c r="W13" s="38">
        <f t="shared" si="0"/>
        <v>7</v>
      </c>
      <c r="X13" s="38">
        <f t="shared" si="0"/>
        <v>1</v>
      </c>
      <c r="Y13" s="38">
        <f t="shared" si="0"/>
        <v>2</v>
      </c>
      <c r="Z13" s="38">
        <f t="shared" si="0"/>
        <v>3</v>
      </c>
      <c r="AA13" s="38">
        <f t="shared" si="0"/>
        <v>4</v>
      </c>
      <c r="AB13" s="38">
        <f t="shared" si="0"/>
        <v>5</v>
      </c>
      <c r="AC13" s="38">
        <f t="shared" si="0"/>
        <v>6</v>
      </c>
      <c r="AD13" s="38">
        <f t="shared" si="0"/>
        <v>7</v>
      </c>
      <c r="AE13" s="38">
        <f t="shared" si="0"/>
        <v>1</v>
      </c>
      <c r="AF13" s="38">
        <f t="shared" si="0"/>
        <v>2</v>
      </c>
      <c r="AG13" s="38">
        <f t="shared" si="0"/>
        <v>3</v>
      </c>
      <c r="AH13" s="38">
        <f t="shared" si="0"/>
        <v>4</v>
      </c>
      <c r="AI13" s="38">
        <f t="shared" si="0"/>
        <v>5</v>
      </c>
      <c r="AJ13" s="38"/>
      <c r="AK13" s="119"/>
      <c r="AL13" s="38">
        <f>WEEKDAY($D$1+AL12)</f>
        <v>4</v>
      </c>
      <c r="AM13" s="38">
        <f t="shared" ref="AM13:BO13" si="1">WEEKDAY($D$1+AM12)</f>
        <v>5</v>
      </c>
      <c r="AN13" s="38">
        <f t="shared" si="1"/>
        <v>6</v>
      </c>
      <c r="AO13" s="38">
        <f t="shared" si="1"/>
        <v>7</v>
      </c>
      <c r="AP13" s="38">
        <f t="shared" si="1"/>
        <v>1</v>
      </c>
      <c r="AQ13" s="38">
        <f t="shared" si="1"/>
        <v>2</v>
      </c>
      <c r="AR13" s="38">
        <f t="shared" si="1"/>
        <v>3</v>
      </c>
      <c r="AS13" s="38">
        <f t="shared" si="1"/>
        <v>4</v>
      </c>
      <c r="AT13" s="38">
        <f t="shared" si="1"/>
        <v>5</v>
      </c>
      <c r="AU13" s="38">
        <f t="shared" si="1"/>
        <v>6</v>
      </c>
      <c r="AV13" s="38">
        <f t="shared" si="1"/>
        <v>7</v>
      </c>
      <c r="AW13" s="38">
        <f t="shared" si="1"/>
        <v>1</v>
      </c>
      <c r="AX13" s="38">
        <f t="shared" si="1"/>
        <v>2</v>
      </c>
      <c r="AY13" s="38">
        <f t="shared" si="1"/>
        <v>3</v>
      </c>
      <c r="AZ13" s="38">
        <f t="shared" si="1"/>
        <v>4</v>
      </c>
      <c r="BA13" s="38">
        <f t="shared" si="1"/>
        <v>5</v>
      </c>
      <c r="BB13" s="38">
        <f t="shared" si="1"/>
        <v>6</v>
      </c>
      <c r="BC13" s="38">
        <f t="shared" si="1"/>
        <v>7</v>
      </c>
      <c r="BD13" s="38">
        <f t="shared" si="1"/>
        <v>1</v>
      </c>
      <c r="BE13" s="38">
        <f t="shared" si="1"/>
        <v>2</v>
      </c>
      <c r="BF13" s="38">
        <f t="shared" si="1"/>
        <v>3</v>
      </c>
      <c r="BG13" s="38">
        <f t="shared" si="1"/>
        <v>4</v>
      </c>
      <c r="BH13" s="38">
        <f t="shared" si="1"/>
        <v>5</v>
      </c>
      <c r="BI13" s="38">
        <f t="shared" si="1"/>
        <v>6</v>
      </c>
      <c r="BJ13" s="38">
        <f t="shared" si="1"/>
        <v>7</v>
      </c>
      <c r="BK13" s="38">
        <f t="shared" si="1"/>
        <v>1</v>
      </c>
      <c r="BL13" s="38">
        <f t="shared" si="1"/>
        <v>2</v>
      </c>
      <c r="BM13" s="38">
        <f t="shared" si="1"/>
        <v>3</v>
      </c>
      <c r="BN13" s="38">
        <f t="shared" si="1"/>
        <v>4</v>
      </c>
      <c r="BO13" s="38">
        <f t="shared" si="1"/>
        <v>5</v>
      </c>
      <c r="BP13" s="38"/>
      <c r="BQ13" s="119"/>
      <c r="BR13" s="124"/>
      <c r="BS13" s="124"/>
      <c r="BT13" s="119"/>
      <c r="BU13" s="120"/>
      <c r="BW13" s="78"/>
      <c r="BX13" s="78"/>
    </row>
    <row r="14" spans="1:76" x14ac:dyDescent="0.3">
      <c r="A14" s="78"/>
      <c r="C14" s="4">
        <v>1</v>
      </c>
      <c r="D14" s="5" t="str">
        <f>IF(VLOOKUP(C14,DSNV!$C$8:$N$48,3,FALSE)=0,"",VLOOKUP(C14,DSNV!$C$8:$N$48,3,FALSE))</f>
        <v>Nguyễn Võ Như Bình</v>
      </c>
      <c r="E14" s="4" t="str">
        <f>IF(VLOOKUP(C14,DSNV!$C$8:$N$48,8,FALSE)="","",VLOOKUP(C14,DSNV!$C$8:$N$48,8,FALSE))</f>
        <v>Thành viên</v>
      </c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>
        <f>SUM(F14:AJ14)</f>
        <v>0</v>
      </c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>
        <f>SUM(AL14:BP14)</f>
        <v>0</v>
      </c>
      <c r="BR14" s="4"/>
      <c r="BS14" s="4"/>
      <c r="BT14" s="45">
        <f>SUM(AK14,BQ14:BS14)</f>
        <v>0</v>
      </c>
      <c r="BU14" s="5"/>
      <c r="BW14" s="78"/>
      <c r="BX14" s="78"/>
    </row>
    <row r="15" spans="1:76" x14ac:dyDescent="0.3">
      <c r="A15" s="78"/>
      <c r="C15" s="6">
        <v>2</v>
      </c>
      <c r="D15" s="5" t="str">
        <f>IF(VLOOKUP(C15,DSNV!$C$8:$N$48,3,FALSE)=0,"",VLOOKUP(C15,DSNV!$C$8:$N$48,3,FALSE))</f>
        <v>Võ Khánh Đoan</v>
      </c>
      <c r="E15" s="4" t="str">
        <f>IF(VLOOKUP(C15,DSNV!$C$8:$N$48,8,FALSE)="","",VLOOKUP(C15,DSNV!$C$8:$N$48,8,FALSE))</f>
        <v>Thành viên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4">
        <f t="shared" ref="AK15:AK53" si="2">SUM(F15:AJ15)</f>
        <v>0</v>
      </c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4">
        <f t="shared" ref="BQ15:BQ53" si="3">SUM(AL15:BP15)</f>
        <v>0</v>
      </c>
      <c r="BR15" s="4"/>
      <c r="BS15" s="4"/>
      <c r="BT15" s="45">
        <f t="shared" ref="BT15:BT53" si="4">SUM(AK15,BQ15:BS15)</f>
        <v>0</v>
      </c>
      <c r="BU15" s="7"/>
      <c r="BW15" s="78"/>
      <c r="BX15" s="78"/>
    </row>
    <row r="16" spans="1:76" x14ac:dyDescent="0.3">
      <c r="A16" s="78"/>
      <c r="C16" s="6">
        <v>3</v>
      </c>
      <c r="D16" s="5" t="str">
        <f>IF(VLOOKUP(C16,DSNV!$C$8:$N$48,3,FALSE)=0,"",VLOOKUP(C16,DSNV!$C$8:$N$48,3,FALSE))</f>
        <v>Nguyễn Thu Hà</v>
      </c>
      <c r="E16" s="4" t="str">
        <f>IF(VLOOKUP(C16,DSNV!$C$8:$N$48,8,FALSE)="","",VLOOKUP(C16,DSNV!$C$8:$N$48,8,FALSE))</f>
        <v>Thành viên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4">
        <f t="shared" si="2"/>
        <v>0</v>
      </c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4">
        <f t="shared" si="3"/>
        <v>0</v>
      </c>
      <c r="BR16" s="4"/>
      <c r="BS16" s="4"/>
      <c r="BT16" s="45">
        <f t="shared" si="4"/>
        <v>0</v>
      </c>
      <c r="BU16" s="7"/>
      <c r="BW16" s="78"/>
      <c r="BX16" s="78"/>
    </row>
    <row r="17" spans="1:76" x14ac:dyDescent="0.3">
      <c r="A17" s="78"/>
      <c r="C17" s="6">
        <v>4</v>
      </c>
      <c r="D17" s="5" t="str">
        <f>IF(VLOOKUP(C17,DSNV!$C$8:$N$48,3,FALSE)=0,"",VLOOKUP(C17,DSNV!$C$8:$N$48,3,FALSE))</f>
        <v>Trương Thị Phú Hiệp</v>
      </c>
      <c r="E17" s="4" t="str">
        <f>IF(VLOOKUP(C17,DSNV!$C$8:$N$48,8,FALSE)="","",VLOOKUP(C17,DSNV!$C$8:$N$48,8,FALSE))</f>
        <v>Thành viên</v>
      </c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4">
        <f t="shared" si="2"/>
        <v>0</v>
      </c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4">
        <f t="shared" si="3"/>
        <v>0</v>
      </c>
      <c r="BR17" s="4"/>
      <c r="BS17" s="4"/>
      <c r="BT17" s="45">
        <f t="shared" si="4"/>
        <v>0</v>
      </c>
      <c r="BU17" s="7"/>
      <c r="BW17" s="78"/>
      <c r="BX17" s="78"/>
    </row>
    <row r="18" spans="1:76" x14ac:dyDescent="0.3">
      <c r="A18" s="78"/>
      <c r="C18" s="6">
        <v>5</v>
      </c>
      <c r="D18" s="5" t="str">
        <f>IF(VLOOKUP(C18,DSNV!$C$8:$N$48,3,FALSE)=0,"",VLOOKUP(C18,DSNV!$C$8:$N$48,3,FALSE))</f>
        <v>Nguyễn Thị Bích Hồng</v>
      </c>
      <c r="E18" s="4" t="str">
        <f>IF(VLOOKUP(C18,DSNV!$C$8:$N$48,8,FALSE)="","",VLOOKUP(C18,DSNV!$C$8:$N$48,8,FALSE))</f>
        <v>Thành viên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4">
        <f t="shared" si="2"/>
        <v>0</v>
      </c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4">
        <f t="shared" si="3"/>
        <v>0</v>
      </c>
      <c r="BR18" s="4"/>
      <c r="BS18" s="4"/>
      <c r="BT18" s="45">
        <f t="shared" si="4"/>
        <v>0</v>
      </c>
      <c r="BU18" s="7"/>
      <c r="BW18" s="78"/>
      <c r="BX18" s="78"/>
    </row>
    <row r="19" spans="1:76" x14ac:dyDescent="0.3">
      <c r="A19" s="78"/>
      <c r="C19" s="6">
        <v>6</v>
      </c>
      <c r="D19" s="5" t="str">
        <f>IF(VLOOKUP(C19,DSNV!$C$8:$N$48,3,FALSE)=0,"",VLOOKUP(C19,DSNV!$C$8:$N$48,3,FALSE))</f>
        <v>Phạm Thị Ngọc Hồng</v>
      </c>
      <c r="E19" s="4" t="str">
        <f>IF(VLOOKUP(C19,DSNV!$C$8:$N$48,8,FALSE)="","",VLOOKUP(C19,DSNV!$C$8:$N$48,8,FALSE))</f>
        <v>Thành viên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4">
        <f t="shared" si="2"/>
        <v>0</v>
      </c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4">
        <f t="shared" si="3"/>
        <v>0</v>
      </c>
      <c r="BR19" s="4">
        <f>BQ19/2</f>
        <v>0</v>
      </c>
      <c r="BS19" s="4"/>
      <c r="BT19" s="45">
        <f t="shared" si="4"/>
        <v>0</v>
      </c>
      <c r="BU19" s="7"/>
      <c r="BW19" s="78"/>
      <c r="BX19" s="78"/>
    </row>
    <row r="20" spans="1:76" x14ac:dyDescent="0.3">
      <c r="A20" s="78"/>
      <c r="C20" s="6">
        <v>7</v>
      </c>
      <c r="D20" s="5" t="str">
        <f>IF(VLOOKUP(C20,DSNV!$C$8:$N$48,3,FALSE)=0,"",VLOOKUP(C20,DSNV!$C$8:$N$48,3,FALSE))</f>
        <v>Phạm Thị Huệ</v>
      </c>
      <c r="E20" s="4" t="str">
        <f>IF(VLOOKUP(C20,DSNV!$C$8:$N$48,8,FALSE)="","",VLOOKUP(C20,DSNV!$C$8:$N$48,8,FALSE))</f>
        <v>Trưởng ban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4">
        <f t="shared" si="2"/>
        <v>0</v>
      </c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4">
        <f t="shared" si="3"/>
        <v>0</v>
      </c>
      <c r="BR20" s="4">
        <f t="shared" ref="BR20:BR21" si="5">BQ20/2</f>
        <v>0</v>
      </c>
      <c r="BS20" s="4"/>
      <c r="BT20" s="45">
        <f t="shared" si="4"/>
        <v>0</v>
      </c>
      <c r="BU20" s="7" t="s">
        <v>166</v>
      </c>
      <c r="BW20" s="78"/>
      <c r="BX20" s="78"/>
    </row>
    <row r="21" spans="1:76" x14ac:dyDescent="0.3">
      <c r="A21" s="78"/>
      <c r="C21" s="6">
        <v>8</v>
      </c>
      <c r="D21" s="5" t="str">
        <f>IF(VLOOKUP(C21,DSNV!$C$8:$N$48,3,FALSE)=0,"",VLOOKUP(C21,DSNV!$C$8:$N$48,3,FALSE))</f>
        <v>Nguyễn Thị Quỳnh Hương</v>
      </c>
      <c r="E21" s="4" t="str">
        <f>IF(VLOOKUP(C21,DSNV!$C$8:$N$48,8,FALSE)="","",VLOOKUP(C21,DSNV!$C$8:$N$48,8,FALSE))</f>
        <v>Trưởng ban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4">
        <f t="shared" si="2"/>
        <v>0</v>
      </c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4">
        <f t="shared" si="3"/>
        <v>0</v>
      </c>
      <c r="BR21" s="4">
        <f t="shared" si="5"/>
        <v>0</v>
      </c>
      <c r="BS21" s="4"/>
      <c r="BT21" s="45">
        <f t="shared" si="4"/>
        <v>0</v>
      </c>
      <c r="BU21" s="7"/>
      <c r="BW21" s="78"/>
      <c r="BX21" s="78"/>
    </row>
    <row r="22" spans="1:76" x14ac:dyDescent="0.3">
      <c r="A22" s="78"/>
      <c r="C22" s="6">
        <v>9</v>
      </c>
      <c r="D22" s="5" t="str">
        <f>IF(VLOOKUP(C22,DSNV!$C$8:$N$48,3,FALSE)=0,"",VLOOKUP(C22,DSNV!$C$8:$N$48,3,FALSE))</f>
        <v>Huỳnh Thanh Huyên</v>
      </c>
      <c r="E22" s="4" t="str">
        <f>IF(VLOOKUP(C22,DSNV!$C$8:$N$48,8,FALSE)="","",VLOOKUP(C22,DSNV!$C$8:$N$48,8,FALSE))</f>
        <v>Thành viên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4">
        <f t="shared" si="2"/>
        <v>0</v>
      </c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4">
        <f t="shared" si="3"/>
        <v>0</v>
      </c>
      <c r="BR22" s="4"/>
      <c r="BS22" s="4"/>
      <c r="BT22" s="45">
        <f t="shared" si="4"/>
        <v>0</v>
      </c>
      <c r="BU22" s="7"/>
      <c r="BW22" s="78"/>
      <c r="BX22" s="78"/>
    </row>
    <row r="23" spans="1:76" x14ac:dyDescent="0.3">
      <c r="A23" s="78"/>
      <c r="C23" s="6">
        <v>10</v>
      </c>
      <c r="D23" s="5" t="str">
        <f>IF(VLOOKUP(C23,DSNV!$C$8:$N$48,3,FALSE)=0,"",VLOOKUP(C23,DSNV!$C$8:$N$48,3,FALSE))</f>
        <v>Lê Hữu Di Mi</v>
      </c>
      <c r="E23" s="4" t="str">
        <f>IF(VLOOKUP(C23,DSNV!$C$8:$N$48,8,FALSE)="","",VLOOKUP(C23,DSNV!$C$8:$N$48,8,FALSE))</f>
        <v>Thành viên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4">
        <f t="shared" si="2"/>
        <v>0</v>
      </c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4">
        <f t="shared" si="3"/>
        <v>0</v>
      </c>
      <c r="BR23" s="4"/>
      <c r="BS23" s="4"/>
      <c r="BT23" s="45">
        <f t="shared" si="4"/>
        <v>0</v>
      </c>
      <c r="BU23" s="7"/>
      <c r="BW23" s="78"/>
      <c r="BX23" s="78"/>
    </row>
    <row r="24" spans="1:76" x14ac:dyDescent="0.3">
      <c r="A24" s="78"/>
      <c r="C24" s="6">
        <v>11</v>
      </c>
      <c r="D24" s="5" t="str">
        <f>IF(VLOOKUP(C24,DSNV!$C$8:$N$48,3,FALSE)=0,"",VLOOKUP(C24,DSNV!$C$8:$N$48,3,FALSE))</f>
        <v>Nguyễn Nhựt Minh</v>
      </c>
      <c r="E24" s="4" t="str">
        <f>IF(VLOOKUP(C24,DSNV!$C$8:$N$48,8,FALSE)="","",VLOOKUP(C24,DSNV!$C$8:$N$48,8,FALSE))</f>
        <v>Trưởng ban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4">
        <f t="shared" si="2"/>
        <v>0</v>
      </c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4">
        <f t="shared" si="3"/>
        <v>0</v>
      </c>
      <c r="BR24" s="4">
        <f>BQ24/2</f>
        <v>0</v>
      </c>
      <c r="BS24" s="4"/>
      <c r="BT24" s="45">
        <f t="shared" si="4"/>
        <v>0</v>
      </c>
      <c r="BU24" s="7"/>
      <c r="BW24" s="78"/>
      <c r="BX24" s="78"/>
    </row>
    <row r="25" spans="1:76" x14ac:dyDescent="0.3">
      <c r="A25" s="78"/>
      <c r="C25" s="6">
        <v>12</v>
      </c>
      <c r="D25" s="5" t="str">
        <f>IF(VLOOKUP(C25,DSNV!$C$8:$N$48,3,FALSE)=0,"",VLOOKUP(C25,DSNV!$C$8:$N$48,3,FALSE))</f>
        <v>Lê Thảo Nguyên</v>
      </c>
      <c r="E25" s="4" t="str">
        <f>IF(VLOOKUP(C25,DSNV!$C$8:$N$48,8,FALSE)="","",VLOOKUP(C25,DSNV!$C$8:$N$48,8,FALSE))</f>
        <v>Thành viên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4">
        <f t="shared" si="2"/>
        <v>0</v>
      </c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4">
        <f t="shared" si="3"/>
        <v>0</v>
      </c>
      <c r="BR25" s="4">
        <f>BQ25/2</f>
        <v>0</v>
      </c>
      <c r="BS25" s="4"/>
      <c r="BT25" s="45">
        <f t="shared" si="4"/>
        <v>0</v>
      </c>
      <c r="BU25" s="7"/>
      <c r="BW25" s="78"/>
      <c r="BX25" s="78"/>
    </row>
    <row r="26" spans="1:76" x14ac:dyDescent="0.3">
      <c r="A26" s="78"/>
      <c r="C26" s="6">
        <v>13</v>
      </c>
      <c r="D26" s="5" t="str">
        <f>IF(VLOOKUP(C26,DSNV!$C$8:$N$48,3,FALSE)=0,"",VLOOKUP(C26,DSNV!$C$8:$N$48,3,FALSE))</f>
        <v>Võ Thị Xuân Nữ</v>
      </c>
      <c r="E26" s="4" t="str">
        <f>IF(VLOOKUP(C26,DSNV!$C$8:$N$48,8,FALSE)="","",VLOOKUP(C26,DSNV!$C$8:$N$48,8,FALSE))</f>
        <v>Thành viên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4">
        <f t="shared" si="2"/>
        <v>0</v>
      </c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4">
        <f t="shared" si="3"/>
        <v>0</v>
      </c>
      <c r="BR26" s="4"/>
      <c r="BS26" s="4"/>
      <c r="BT26" s="45">
        <f t="shared" si="4"/>
        <v>0</v>
      </c>
      <c r="BU26" s="7"/>
      <c r="BW26" s="78"/>
      <c r="BX26" s="78"/>
    </row>
    <row r="27" spans="1:76" x14ac:dyDescent="0.3">
      <c r="A27" s="78"/>
      <c r="C27" s="6">
        <v>14</v>
      </c>
      <c r="D27" s="5" t="str">
        <f>IF(VLOOKUP(C27,DSNV!$C$8:$N$48,3,FALSE)=0,"",VLOOKUP(C27,DSNV!$C$8:$N$48,3,FALSE))</f>
        <v>Đỗ Thị Lan Phương</v>
      </c>
      <c r="E27" s="4" t="str">
        <f>IF(VLOOKUP(C27,DSNV!$C$8:$N$48,8,FALSE)="","",VLOOKUP(C27,DSNV!$C$8:$N$48,8,FALSE))</f>
        <v>Thành viên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4">
        <f t="shared" si="2"/>
        <v>0</v>
      </c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4">
        <f t="shared" si="3"/>
        <v>0</v>
      </c>
      <c r="BR27" s="4"/>
      <c r="BS27" s="4"/>
      <c r="BT27" s="45">
        <f t="shared" si="4"/>
        <v>0</v>
      </c>
      <c r="BU27" s="7"/>
      <c r="BW27" s="78"/>
      <c r="BX27" s="78"/>
    </row>
    <row r="28" spans="1:76" x14ac:dyDescent="0.3">
      <c r="A28" s="78"/>
      <c r="C28" s="6">
        <v>15</v>
      </c>
      <c r="D28" s="5" t="str">
        <f>IF(VLOOKUP(C28,DSNV!$C$8:$N$48,3,FALSE)=0,"",VLOOKUP(C28,DSNV!$C$8:$N$48,3,FALSE))</f>
        <v>Nguyễn Thị Nhã Quyên</v>
      </c>
      <c r="E28" s="4" t="str">
        <f>IF(VLOOKUP(C28,DSNV!$C$8:$N$48,8,FALSE)="","",VLOOKUP(C28,DSNV!$C$8:$N$48,8,FALSE))</f>
        <v>Thành viên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4">
        <f t="shared" si="2"/>
        <v>0</v>
      </c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4">
        <f t="shared" si="3"/>
        <v>0</v>
      </c>
      <c r="BR28" s="4">
        <f t="shared" ref="BR28:BR33" si="6">BQ28/2</f>
        <v>0</v>
      </c>
      <c r="BS28" s="4"/>
      <c r="BT28" s="45">
        <f t="shared" si="4"/>
        <v>0</v>
      </c>
      <c r="BU28" s="7"/>
      <c r="BW28" s="78"/>
      <c r="BX28" s="78"/>
    </row>
    <row r="29" spans="1:76" x14ac:dyDescent="0.3">
      <c r="A29" s="78"/>
      <c r="C29" s="6">
        <v>16</v>
      </c>
      <c r="D29" s="5" t="str">
        <f>IF(VLOOKUP(C29,DSNV!$C$8:$N$48,3,FALSE)=0,"",VLOOKUP(C29,DSNV!$C$8:$N$48,3,FALSE))</f>
        <v>Nguyễn Đức Vĩnh Thắng</v>
      </c>
      <c r="E29" s="4" t="str">
        <f>IF(VLOOKUP(C29,DSNV!$C$8:$N$48,8,FALSE)="","",VLOOKUP(C29,DSNV!$C$8:$N$48,8,FALSE))</f>
        <v>Trưởng ban</v>
      </c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4">
        <f t="shared" si="2"/>
        <v>0</v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4">
        <f t="shared" si="3"/>
        <v>0</v>
      </c>
      <c r="BR29" s="4">
        <f t="shared" si="6"/>
        <v>0</v>
      </c>
      <c r="BS29" s="4"/>
      <c r="BT29" s="45">
        <f t="shared" si="4"/>
        <v>0</v>
      </c>
      <c r="BU29" s="7"/>
      <c r="BW29" s="78"/>
      <c r="BX29" s="78"/>
    </row>
    <row r="30" spans="1:76" x14ac:dyDescent="0.3">
      <c r="A30" s="78"/>
      <c r="C30" s="6">
        <v>17</v>
      </c>
      <c r="D30" s="5" t="str">
        <f>IF(VLOOKUP(C30,DSNV!$C$8:$N$48,3,FALSE)=0,"",VLOOKUP(C30,DSNV!$C$8:$N$48,3,FALSE))</f>
        <v>Nguyễn Thành Tiến</v>
      </c>
      <c r="E30" s="4" t="str">
        <f>IF(VLOOKUP(C30,DSNV!$C$8:$N$48,8,FALSE)="","",VLOOKUP(C30,DSNV!$C$8:$N$48,8,FALSE))</f>
        <v>Thành viên</v>
      </c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4">
        <f t="shared" si="2"/>
        <v>0</v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4">
        <f t="shared" si="3"/>
        <v>0</v>
      </c>
      <c r="BR30" s="4">
        <f t="shared" si="6"/>
        <v>0</v>
      </c>
      <c r="BS30" s="4"/>
      <c r="BT30" s="45">
        <f t="shared" si="4"/>
        <v>0</v>
      </c>
      <c r="BU30" s="7"/>
      <c r="BW30" s="78"/>
      <c r="BX30" s="78"/>
    </row>
    <row r="31" spans="1:76" x14ac:dyDescent="0.3">
      <c r="A31" s="78"/>
      <c r="C31" s="6">
        <v>18</v>
      </c>
      <c r="D31" s="5" t="str">
        <f>IF(VLOOKUP(C31,DSNV!$C$8:$N$48,3,FALSE)=0,"",VLOOKUP(C31,DSNV!$C$8:$N$48,3,FALSE))</f>
        <v>Trần Thị Trúc</v>
      </c>
      <c r="E31" s="4" t="str">
        <f>IF(VLOOKUP(C31,DSNV!$C$8:$N$48,8,FALSE)="","",VLOOKUP(C31,DSNV!$C$8:$N$48,8,FALSE))</f>
        <v>Thành viên</v>
      </c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4">
        <f t="shared" si="2"/>
        <v>0</v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4">
        <f t="shared" si="3"/>
        <v>0</v>
      </c>
      <c r="BR31" s="4">
        <f t="shared" si="6"/>
        <v>0</v>
      </c>
      <c r="BS31" s="4"/>
      <c r="BT31" s="45">
        <f t="shared" si="4"/>
        <v>0</v>
      </c>
      <c r="BU31" s="7"/>
      <c r="BW31" s="78"/>
      <c r="BX31" s="78"/>
    </row>
    <row r="32" spans="1:76" x14ac:dyDescent="0.3">
      <c r="A32" s="78"/>
      <c r="C32" s="6">
        <v>19</v>
      </c>
      <c r="D32" s="5" t="str">
        <f>IF(VLOOKUP(C32,DSNV!$C$8:$N$48,3,FALSE)=0,"",VLOOKUP(C32,DSNV!$C$8:$N$48,3,FALSE))</f>
        <v>Bùi Hoàng Trung</v>
      </c>
      <c r="E32" s="4" t="str">
        <f>IF(VLOOKUP(C32,DSNV!$C$8:$N$48,8,FALSE)="","",VLOOKUP(C32,DSNV!$C$8:$N$48,8,FALSE))</f>
        <v>Thành viên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4">
        <f t="shared" si="2"/>
        <v>0</v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4">
        <f t="shared" si="3"/>
        <v>0</v>
      </c>
      <c r="BR32" s="4">
        <f t="shared" si="6"/>
        <v>0</v>
      </c>
      <c r="BS32" s="4"/>
      <c r="BT32" s="45">
        <f t="shared" si="4"/>
        <v>0</v>
      </c>
      <c r="BU32" s="7"/>
      <c r="BW32" s="78"/>
      <c r="BX32" s="78"/>
    </row>
    <row r="33" spans="1:76" ht="15" thickBot="1" x14ac:dyDescent="0.35">
      <c r="A33" s="78"/>
      <c r="C33" s="6">
        <v>20</v>
      </c>
      <c r="D33" s="5" t="str">
        <f>IF(VLOOKUP(C33,DSNV!$C$8:$N$48,3,FALSE)=0,"",VLOOKUP(C33,DSNV!$C$8:$N$48,3,FALSE))</f>
        <v>Ngô Trúc Tường Vy</v>
      </c>
      <c r="E33" s="4" t="str">
        <f>IF(VLOOKUP(C33,DSNV!$C$8:$N$48,8,FALSE)="","",VLOOKUP(C33,DSNV!$C$8:$N$48,8,FALSE))</f>
        <v>Trưởng ban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4">
        <f t="shared" si="2"/>
        <v>0</v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4">
        <f t="shared" si="3"/>
        <v>0</v>
      </c>
      <c r="BR33" s="4">
        <f t="shared" si="6"/>
        <v>0</v>
      </c>
      <c r="BS33" s="4"/>
      <c r="BT33" s="45">
        <f t="shared" si="4"/>
        <v>0</v>
      </c>
      <c r="BU33" s="7"/>
      <c r="BW33" s="78"/>
      <c r="BX33" s="78"/>
    </row>
    <row r="34" spans="1:76" ht="15" hidden="1" thickBot="1" x14ac:dyDescent="0.35">
      <c r="A34" s="78"/>
      <c r="C34" s="6">
        <v>21</v>
      </c>
      <c r="D34" s="5" t="str">
        <f>IF(VLOOKUP(C34,DSNV!$C$8:$N$48,3,FALSE)=0,"",VLOOKUP(C34,DSNV!$C$8:$N$48,3,FALSE))</f>
        <v/>
      </c>
      <c r="E34" s="4" t="str">
        <f>IF(VLOOKUP(C34,DSNV!$C$8:$N$48,8,FALSE)="","",VLOOKUP(C34,DSNV!$C$8:$N$48,8,FALSE))</f>
        <v/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4">
        <f t="shared" si="2"/>
        <v>0</v>
      </c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4">
        <f t="shared" si="3"/>
        <v>0</v>
      </c>
      <c r="BR34" s="4"/>
      <c r="BS34" s="4"/>
      <c r="BT34" s="45">
        <f t="shared" si="4"/>
        <v>0</v>
      </c>
      <c r="BU34" s="7"/>
      <c r="BW34" s="78"/>
      <c r="BX34" s="78"/>
    </row>
    <row r="35" spans="1:76" ht="15" hidden="1" thickBot="1" x14ac:dyDescent="0.35">
      <c r="A35" s="78"/>
      <c r="C35" s="6">
        <v>22</v>
      </c>
      <c r="D35" s="5" t="str">
        <f>IF(VLOOKUP(C35,DSNV!$C$8:$N$48,3,FALSE)=0,"",VLOOKUP(C35,DSNV!$C$8:$N$48,3,FALSE))</f>
        <v/>
      </c>
      <c r="E35" s="4" t="str">
        <f>IF(VLOOKUP(C35,DSNV!$C$8:$N$48,8,FALSE)="","",VLOOKUP(C35,DSNV!$C$8:$N$48,8,FALSE))</f>
        <v/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4">
        <f t="shared" si="2"/>
        <v>0</v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4">
        <f t="shared" si="3"/>
        <v>0</v>
      </c>
      <c r="BR35" s="4"/>
      <c r="BS35" s="4"/>
      <c r="BT35" s="45">
        <f t="shared" si="4"/>
        <v>0</v>
      </c>
      <c r="BU35" s="7"/>
      <c r="BW35" s="78"/>
      <c r="BX35" s="78"/>
    </row>
    <row r="36" spans="1:76" ht="15" hidden="1" thickBot="1" x14ac:dyDescent="0.35">
      <c r="A36" s="78"/>
      <c r="C36" s="6">
        <v>23</v>
      </c>
      <c r="D36" s="5" t="str">
        <f>IF(VLOOKUP(C36,DSNV!$C$8:$N$48,3,FALSE)=0,"",VLOOKUP(C36,DSNV!$C$8:$N$48,3,FALSE))</f>
        <v/>
      </c>
      <c r="E36" s="4" t="str">
        <f>IF(VLOOKUP(C36,DSNV!$C$8:$N$48,8,FALSE)="","",VLOOKUP(C36,DSNV!$C$8:$N$48,8,FALSE))</f>
        <v/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4">
        <f t="shared" si="2"/>
        <v>0</v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4">
        <f t="shared" si="3"/>
        <v>0</v>
      </c>
      <c r="BR36" s="4"/>
      <c r="BS36" s="4"/>
      <c r="BT36" s="45">
        <f t="shared" si="4"/>
        <v>0</v>
      </c>
      <c r="BU36" s="7"/>
      <c r="BW36" s="78"/>
      <c r="BX36" s="78"/>
    </row>
    <row r="37" spans="1:76" ht="15" hidden="1" thickBot="1" x14ac:dyDescent="0.35">
      <c r="A37" s="78"/>
      <c r="C37" s="6">
        <v>24</v>
      </c>
      <c r="D37" s="5" t="str">
        <f>IF(VLOOKUP(C37,DSNV!$C$8:$N$48,3,FALSE)=0,"",VLOOKUP(C37,DSNV!$C$8:$N$48,3,FALSE))</f>
        <v/>
      </c>
      <c r="E37" s="4" t="str">
        <f>IF(VLOOKUP(C37,DSNV!$C$8:$N$48,8,FALSE)="","",VLOOKUP(C37,DSNV!$C$8:$N$48,8,FALSE))</f>
        <v/>
      </c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4">
        <f t="shared" si="2"/>
        <v>0</v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4">
        <f t="shared" si="3"/>
        <v>0</v>
      </c>
      <c r="BR37" s="4"/>
      <c r="BS37" s="4"/>
      <c r="BT37" s="45">
        <f t="shared" si="4"/>
        <v>0</v>
      </c>
      <c r="BU37" s="7"/>
      <c r="BW37" s="78"/>
      <c r="BX37" s="78"/>
    </row>
    <row r="38" spans="1:76" ht="15" hidden="1" thickBot="1" x14ac:dyDescent="0.35">
      <c r="A38" s="78"/>
      <c r="C38" s="6">
        <v>25</v>
      </c>
      <c r="D38" s="5" t="str">
        <f>IF(VLOOKUP(C38,DSNV!$C$8:$N$48,3,FALSE)=0,"",VLOOKUP(C38,DSNV!$C$8:$N$48,3,FALSE))</f>
        <v/>
      </c>
      <c r="E38" s="4" t="str">
        <f>IF(VLOOKUP(C38,DSNV!$C$8:$N$48,8,FALSE)="","",VLOOKUP(C38,DSNV!$C$8:$N$48,8,FALSE))</f>
        <v/>
      </c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4">
        <f t="shared" si="2"/>
        <v>0</v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4">
        <f t="shared" si="3"/>
        <v>0</v>
      </c>
      <c r="BR38" s="4"/>
      <c r="BS38" s="4"/>
      <c r="BT38" s="45">
        <f t="shared" si="4"/>
        <v>0</v>
      </c>
      <c r="BU38" s="7"/>
      <c r="BW38" s="78"/>
      <c r="BX38" s="78"/>
    </row>
    <row r="39" spans="1:76" ht="15" hidden="1" thickBot="1" x14ac:dyDescent="0.35">
      <c r="A39" s="78"/>
      <c r="C39" s="6">
        <v>26</v>
      </c>
      <c r="D39" s="5" t="str">
        <f>IF(VLOOKUP(C39,DSNV!$C$8:$N$48,3,FALSE)=0,"",VLOOKUP(C39,DSNV!$C$8:$N$48,3,FALSE))</f>
        <v/>
      </c>
      <c r="E39" s="4" t="str">
        <f>IF(VLOOKUP(C39,DSNV!$C$8:$N$48,8,FALSE)="","",VLOOKUP(C39,DSNV!$C$8:$N$48,8,FALSE))</f>
        <v/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4">
        <f t="shared" si="2"/>
        <v>0</v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4">
        <f t="shared" si="3"/>
        <v>0</v>
      </c>
      <c r="BR39" s="4"/>
      <c r="BS39" s="4"/>
      <c r="BT39" s="45">
        <f t="shared" si="4"/>
        <v>0</v>
      </c>
      <c r="BU39" s="7"/>
      <c r="BW39" s="78"/>
      <c r="BX39" s="78"/>
    </row>
    <row r="40" spans="1:76" ht="15" hidden="1" thickBot="1" x14ac:dyDescent="0.35">
      <c r="A40" s="78"/>
      <c r="C40" s="6">
        <v>27</v>
      </c>
      <c r="D40" s="5" t="str">
        <f>IF(VLOOKUP(C40,DSNV!$C$8:$N$48,3,FALSE)=0,"",VLOOKUP(C40,DSNV!$C$8:$N$48,3,FALSE))</f>
        <v/>
      </c>
      <c r="E40" s="4" t="str">
        <f>IF(VLOOKUP(C40,DSNV!$C$8:$N$48,8,FALSE)="","",VLOOKUP(C40,DSNV!$C$8:$N$48,8,FALSE))</f>
        <v/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4">
        <f t="shared" si="2"/>
        <v>0</v>
      </c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4">
        <f t="shared" si="3"/>
        <v>0</v>
      </c>
      <c r="BR40" s="4"/>
      <c r="BS40" s="4"/>
      <c r="BT40" s="45">
        <f t="shared" si="4"/>
        <v>0</v>
      </c>
      <c r="BU40" s="7"/>
      <c r="BW40" s="78"/>
      <c r="BX40" s="78"/>
    </row>
    <row r="41" spans="1:76" ht="15" hidden="1" thickBot="1" x14ac:dyDescent="0.35">
      <c r="A41" s="78"/>
      <c r="C41" s="6">
        <v>28</v>
      </c>
      <c r="D41" s="5" t="str">
        <f>IF(VLOOKUP(C41,DSNV!$C$8:$N$48,3,FALSE)=0,"",VLOOKUP(C41,DSNV!$C$8:$N$48,3,FALSE))</f>
        <v/>
      </c>
      <c r="E41" s="4" t="str">
        <f>IF(VLOOKUP(C41,DSNV!$C$8:$N$48,8,FALSE)="","",VLOOKUP(C41,DSNV!$C$8:$N$48,8,FALSE))</f>
        <v/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4">
        <f t="shared" si="2"/>
        <v>0</v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4">
        <f t="shared" si="3"/>
        <v>0</v>
      </c>
      <c r="BR41" s="4"/>
      <c r="BS41" s="4"/>
      <c r="BT41" s="45">
        <f t="shared" si="4"/>
        <v>0</v>
      </c>
      <c r="BU41" s="7"/>
      <c r="BW41" s="78"/>
      <c r="BX41" s="78"/>
    </row>
    <row r="42" spans="1:76" ht="15" hidden="1" thickBot="1" x14ac:dyDescent="0.35">
      <c r="A42" s="78"/>
      <c r="C42" s="6">
        <v>29</v>
      </c>
      <c r="D42" s="5" t="str">
        <f>IF(VLOOKUP(C42,DSNV!$C$8:$N$48,3,FALSE)=0,"",VLOOKUP(C42,DSNV!$C$8:$N$48,3,FALSE))</f>
        <v/>
      </c>
      <c r="E42" s="4" t="str">
        <f>IF(VLOOKUP(C42,DSNV!$C$8:$N$48,8,FALSE)="","",VLOOKUP(C42,DSNV!$C$8:$N$48,8,FALSE))</f>
        <v/>
      </c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4">
        <f t="shared" si="2"/>
        <v>0</v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4">
        <f t="shared" si="3"/>
        <v>0</v>
      </c>
      <c r="BR42" s="4"/>
      <c r="BS42" s="4"/>
      <c r="BT42" s="45">
        <f t="shared" si="4"/>
        <v>0</v>
      </c>
      <c r="BU42" s="7"/>
      <c r="BW42" s="78"/>
      <c r="BX42" s="78"/>
    </row>
    <row r="43" spans="1:76" ht="15" hidden="1" thickBot="1" x14ac:dyDescent="0.35">
      <c r="A43" s="78"/>
      <c r="C43" s="6">
        <v>30</v>
      </c>
      <c r="D43" s="5" t="str">
        <f>IF(VLOOKUP(C43,DSNV!$C$8:$N$48,3,FALSE)=0,"",VLOOKUP(C43,DSNV!$C$8:$N$48,3,FALSE))</f>
        <v/>
      </c>
      <c r="E43" s="4" t="str">
        <f>IF(VLOOKUP(C43,DSNV!$C$8:$N$48,8,FALSE)="","",VLOOKUP(C43,DSNV!$C$8:$N$48,8,FALSE))</f>
        <v/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4">
        <f t="shared" si="2"/>
        <v>0</v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4">
        <f t="shared" si="3"/>
        <v>0</v>
      </c>
      <c r="BR43" s="4"/>
      <c r="BS43" s="4"/>
      <c r="BT43" s="45">
        <f t="shared" si="4"/>
        <v>0</v>
      </c>
      <c r="BU43" s="7"/>
      <c r="BW43" s="78"/>
      <c r="BX43" s="78"/>
    </row>
    <row r="44" spans="1:76" ht="15" hidden="1" thickBot="1" x14ac:dyDescent="0.35">
      <c r="A44" s="78"/>
      <c r="C44" s="6">
        <v>31</v>
      </c>
      <c r="D44" s="5" t="str">
        <f>IF(VLOOKUP(C44,DSNV!$C$8:$N$48,3,FALSE)=0,"",VLOOKUP(C44,DSNV!$C$8:$N$48,3,FALSE))</f>
        <v/>
      </c>
      <c r="E44" s="4" t="str">
        <f>IF(VLOOKUP(C44,DSNV!$C$8:$N$48,8,FALSE)="","",VLOOKUP(C44,DSNV!$C$8:$N$48,8,FALSE))</f>
        <v/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4">
        <f t="shared" si="2"/>
        <v>0</v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4">
        <f t="shared" si="3"/>
        <v>0</v>
      </c>
      <c r="BR44" s="4"/>
      <c r="BS44" s="4"/>
      <c r="BT44" s="45">
        <f t="shared" si="4"/>
        <v>0</v>
      </c>
      <c r="BU44" s="7"/>
      <c r="BW44" s="78"/>
      <c r="BX44" s="78"/>
    </row>
    <row r="45" spans="1:76" ht="15" hidden="1" thickBot="1" x14ac:dyDescent="0.35">
      <c r="A45" s="78"/>
      <c r="C45" s="6">
        <v>32</v>
      </c>
      <c r="D45" s="5" t="str">
        <f>IF(VLOOKUP(C45,DSNV!$C$8:$N$48,3,FALSE)=0,"",VLOOKUP(C45,DSNV!$C$8:$N$48,3,FALSE))</f>
        <v/>
      </c>
      <c r="E45" s="4" t="str">
        <f>IF(VLOOKUP(C45,DSNV!$C$8:$N$48,8,FALSE)="","",VLOOKUP(C45,DSNV!$C$8:$N$48,8,FALSE))</f>
        <v/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4">
        <f t="shared" si="2"/>
        <v>0</v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4">
        <f t="shared" si="3"/>
        <v>0</v>
      </c>
      <c r="BR45" s="4"/>
      <c r="BS45" s="4"/>
      <c r="BT45" s="45">
        <f t="shared" si="4"/>
        <v>0</v>
      </c>
      <c r="BU45" s="7"/>
      <c r="BW45" s="78"/>
      <c r="BX45" s="78"/>
    </row>
    <row r="46" spans="1:76" ht="15" hidden="1" thickBot="1" x14ac:dyDescent="0.35">
      <c r="A46" s="78"/>
      <c r="C46" s="6">
        <v>33</v>
      </c>
      <c r="D46" s="5" t="str">
        <f>IF(VLOOKUP(C46,DSNV!$C$8:$N$48,3,FALSE)=0,"",VLOOKUP(C46,DSNV!$C$8:$N$48,3,FALSE))</f>
        <v/>
      </c>
      <c r="E46" s="4" t="str">
        <f>IF(VLOOKUP(C46,DSNV!$C$8:$N$48,8,FALSE)="","",VLOOKUP(C46,DSNV!$C$8:$N$48,8,FALSE))</f>
        <v/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4">
        <f t="shared" si="2"/>
        <v>0</v>
      </c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4">
        <f t="shared" si="3"/>
        <v>0</v>
      </c>
      <c r="BR46" s="4"/>
      <c r="BS46" s="4"/>
      <c r="BT46" s="45">
        <f t="shared" si="4"/>
        <v>0</v>
      </c>
      <c r="BU46" s="7"/>
      <c r="BW46" s="78"/>
      <c r="BX46" s="78"/>
    </row>
    <row r="47" spans="1:76" ht="15" hidden="1" thickBot="1" x14ac:dyDescent="0.35">
      <c r="A47" s="78"/>
      <c r="C47" s="6">
        <v>34</v>
      </c>
      <c r="D47" s="5" t="str">
        <f>IF(VLOOKUP(C47,DSNV!$C$8:$N$48,3,FALSE)=0,"",VLOOKUP(C47,DSNV!$C$8:$N$48,3,FALSE))</f>
        <v/>
      </c>
      <c r="E47" s="4" t="str">
        <f>IF(VLOOKUP(C47,DSNV!$C$8:$N$48,8,FALSE)="","",VLOOKUP(C47,DSNV!$C$8:$N$48,8,FALSE))</f>
        <v/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4">
        <f t="shared" si="2"/>
        <v>0</v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4">
        <f t="shared" si="3"/>
        <v>0</v>
      </c>
      <c r="BR47" s="4"/>
      <c r="BS47" s="4"/>
      <c r="BT47" s="45">
        <f t="shared" si="4"/>
        <v>0</v>
      </c>
      <c r="BU47" s="7"/>
      <c r="BW47" s="78"/>
      <c r="BX47" s="78"/>
    </row>
    <row r="48" spans="1:76" ht="15" hidden="1" thickBot="1" x14ac:dyDescent="0.35">
      <c r="A48" s="78"/>
      <c r="C48" s="6">
        <v>35</v>
      </c>
      <c r="D48" s="5" t="str">
        <f>IF(VLOOKUP(C48,DSNV!$C$8:$N$48,3,FALSE)=0,"",VLOOKUP(C48,DSNV!$C$8:$N$48,3,FALSE))</f>
        <v/>
      </c>
      <c r="E48" s="4" t="str">
        <f>IF(VLOOKUP(C48,DSNV!$C$8:$N$48,8,FALSE)="","",VLOOKUP(C48,DSNV!$C$8:$N$48,8,FALSE))</f>
        <v/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4">
        <f t="shared" si="2"/>
        <v>0</v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4">
        <f t="shared" si="3"/>
        <v>0</v>
      </c>
      <c r="BR48" s="4"/>
      <c r="BS48" s="4"/>
      <c r="BT48" s="45">
        <f t="shared" si="4"/>
        <v>0</v>
      </c>
      <c r="BU48" s="7"/>
      <c r="BW48" s="78"/>
      <c r="BX48" s="78"/>
    </row>
    <row r="49" spans="1:76" ht="15" hidden="1" thickBot="1" x14ac:dyDescent="0.35">
      <c r="A49" s="78"/>
      <c r="C49" s="6">
        <v>36</v>
      </c>
      <c r="D49" s="5" t="str">
        <f>IF(VLOOKUP(C49,DSNV!$C$8:$N$48,3,FALSE)=0,"",VLOOKUP(C49,DSNV!$C$8:$N$48,3,FALSE))</f>
        <v/>
      </c>
      <c r="E49" s="4" t="str">
        <f>IF(VLOOKUP(C49,DSNV!$C$8:$N$48,8,FALSE)="","",VLOOKUP(C49,DSNV!$C$8:$N$48,8,FALSE))</f>
        <v/>
      </c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4">
        <f t="shared" si="2"/>
        <v>0</v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4">
        <f t="shared" si="3"/>
        <v>0</v>
      </c>
      <c r="BR49" s="4"/>
      <c r="BS49" s="4"/>
      <c r="BT49" s="45">
        <f t="shared" si="4"/>
        <v>0</v>
      </c>
      <c r="BU49" s="7"/>
      <c r="BW49" s="78"/>
      <c r="BX49" s="78"/>
    </row>
    <row r="50" spans="1:76" ht="15" hidden="1" thickBot="1" x14ac:dyDescent="0.35">
      <c r="A50" s="78"/>
      <c r="C50" s="6">
        <v>37</v>
      </c>
      <c r="D50" s="5" t="str">
        <f>IF(VLOOKUP(C50,DSNV!$C$8:$N$48,3,FALSE)=0,"",VLOOKUP(C50,DSNV!$C$8:$N$48,3,FALSE))</f>
        <v/>
      </c>
      <c r="E50" s="4" t="str">
        <f>IF(VLOOKUP(C50,DSNV!$C$8:$N$48,8,FALSE)="","",VLOOKUP(C50,DSNV!$C$8:$N$48,8,FALSE))</f>
        <v/>
      </c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4">
        <f t="shared" si="2"/>
        <v>0</v>
      </c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4">
        <f t="shared" si="3"/>
        <v>0</v>
      </c>
      <c r="BR50" s="4"/>
      <c r="BS50" s="4"/>
      <c r="BT50" s="45">
        <f t="shared" si="4"/>
        <v>0</v>
      </c>
      <c r="BU50" s="7"/>
      <c r="BW50" s="78"/>
      <c r="BX50" s="78"/>
    </row>
    <row r="51" spans="1:76" ht="15" hidden="1" thickBot="1" x14ac:dyDescent="0.35">
      <c r="A51" s="78"/>
      <c r="C51" s="6">
        <v>38</v>
      </c>
      <c r="D51" s="5" t="str">
        <f>IF(VLOOKUP(C51,DSNV!$C$8:$N$48,3,FALSE)=0,"",VLOOKUP(C51,DSNV!$C$8:$N$48,3,FALSE))</f>
        <v/>
      </c>
      <c r="E51" s="4" t="str">
        <f>IF(VLOOKUP(C51,DSNV!$C$8:$N$48,8,FALSE)="","",VLOOKUP(C51,DSNV!$C$8:$N$48,8,FALSE))</f>
        <v/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4">
        <f t="shared" si="2"/>
        <v>0</v>
      </c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4">
        <f t="shared" si="3"/>
        <v>0</v>
      </c>
      <c r="BR51" s="4"/>
      <c r="BS51" s="4"/>
      <c r="BT51" s="45">
        <f t="shared" si="4"/>
        <v>0</v>
      </c>
      <c r="BU51" s="7"/>
      <c r="BW51" s="78"/>
      <c r="BX51" s="78"/>
    </row>
    <row r="52" spans="1:76" ht="15" hidden="1" thickBot="1" x14ac:dyDescent="0.35">
      <c r="A52" s="78"/>
      <c r="C52" s="6">
        <v>39</v>
      </c>
      <c r="D52" s="5" t="str">
        <f>IF(VLOOKUP(C52,DSNV!$C$8:$N$48,3,FALSE)=0,"",VLOOKUP(C52,DSNV!$C$8:$N$48,3,FALSE))</f>
        <v/>
      </c>
      <c r="E52" s="4" t="str">
        <f>IF(VLOOKUP(C52,DSNV!$C$8:$N$48,8,FALSE)="","",VLOOKUP(C52,DSNV!$C$8:$N$48,8,FALSE))</f>
        <v/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4">
        <f t="shared" si="2"/>
        <v>0</v>
      </c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4">
        <f t="shared" si="3"/>
        <v>0</v>
      </c>
      <c r="BR52" s="4"/>
      <c r="BS52" s="4"/>
      <c r="BT52" s="45">
        <f t="shared" si="4"/>
        <v>0</v>
      </c>
      <c r="BU52" s="7"/>
      <c r="BW52" s="78"/>
      <c r="BX52" s="78"/>
    </row>
    <row r="53" spans="1:76" ht="15" hidden="1" thickBot="1" x14ac:dyDescent="0.35">
      <c r="A53" s="78"/>
      <c r="C53" s="14">
        <v>40</v>
      </c>
      <c r="D53" s="5" t="str">
        <f>IF(VLOOKUP(C53,DSNV!$C$8:$N$48,3,FALSE)=0,"",VLOOKUP(C53,DSNV!$C$8:$N$48,3,FALSE))</f>
        <v/>
      </c>
      <c r="E53" s="4" t="str">
        <f>IF(VLOOKUP(C53,DSNV!$C$8:$N$48,8,FALSE)="","",VLOOKUP(C53,DSNV!$C$8:$N$48,8,FALSE))</f>
        <v/>
      </c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4">
        <f t="shared" si="2"/>
        <v>0</v>
      </c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4">
        <f t="shared" si="3"/>
        <v>0</v>
      </c>
      <c r="BR53" s="4"/>
      <c r="BS53" s="4"/>
      <c r="BT53" s="45">
        <f t="shared" si="4"/>
        <v>0</v>
      </c>
      <c r="BU53" s="15"/>
      <c r="BW53" s="78"/>
      <c r="BX53" s="78"/>
    </row>
    <row r="54" spans="1:76" ht="15" thickBot="1" x14ac:dyDescent="0.35">
      <c r="A54" s="78"/>
      <c r="C54" s="121" t="s">
        <v>53</v>
      </c>
      <c r="D54" s="121"/>
      <c r="E54" s="121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37">
        <f>SUM(AK14:AK53)</f>
        <v>0</v>
      </c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37">
        <f>SUM(BQ14:BQ53)</f>
        <v>0</v>
      </c>
      <c r="BR54" s="37">
        <f t="shared" ref="BR54:BS54" si="7">SUM(BR14:BR53)</f>
        <v>0</v>
      </c>
      <c r="BS54" s="37">
        <f t="shared" si="7"/>
        <v>0</v>
      </c>
      <c r="BT54" s="37">
        <f>SUM(BT14:BT53)</f>
        <v>0</v>
      </c>
      <c r="BU54" s="17"/>
      <c r="BW54" s="78"/>
      <c r="BX54" s="78"/>
    </row>
    <row r="55" spans="1:76" x14ac:dyDescent="0.3">
      <c r="A55" s="78"/>
      <c r="BW55" s="78"/>
      <c r="BX55" s="78"/>
    </row>
    <row r="56" spans="1:76" x14ac:dyDescent="0.3">
      <c r="A56" s="78"/>
      <c r="BW56" s="78"/>
      <c r="BX56" s="78"/>
    </row>
    <row r="57" spans="1:76" x14ac:dyDescent="0.3">
      <c r="A57" s="78"/>
      <c r="B57" s="78"/>
      <c r="C57" s="77"/>
      <c r="D57" s="78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  <c r="AW57" s="77"/>
      <c r="AX57" s="77"/>
      <c r="AY57" s="77"/>
      <c r="AZ57" s="77"/>
      <c r="BA57" s="77"/>
      <c r="BB57" s="77"/>
      <c r="BC57" s="77"/>
      <c r="BD57" s="77"/>
      <c r="BE57" s="77"/>
      <c r="BF57" s="77"/>
      <c r="BG57" s="77"/>
      <c r="BH57" s="77"/>
      <c r="BI57" s="77"/>
      <c r="BJ57" s="77"/>
      <c r="BK57" s="77"/>
      <c r="BL57" s="77"/>
      <c r="BM57" s="77"/>
      <c r="BN57" s="77"/>
      <c r="BO57" s="77"/>
      <c r="BP57" s="77"/>
      <c r="BQ57" s="77"/>
      <c r="BR57" s="77"/>
      <c r="BS57" s="77"/>
      <c r="BT57" s="77"/>
      <c r="BU57" s="78"/>
      <c r="BV57" s="78"/>
      <c r="BW57" s="78"/>
      <c r="BX57" s="78"/>
    </row>
    <row r="58" spans="1:76" x14ac:dyDescent="0.3">
      <c r="A58" s="78"/>
      <c r="B58" s="78"/>
      <c r="C58" s="77"/>
      <c r="D58" s="78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7"/>
      <c r="AL58" s="77"/>
      <c r="AM58" s="77"/>
      <c r="AN58" s="77"/>
      <c r="AO58" s="77"/>
      <c r="AP58" s="77"/>
      <c r="AQ58" s="77"/>
      <c r="AR58" s="77"/>
      <c r="AS58" s="77"/>
      <c r="AT58" s="77"/>
      <c r="AU58" s="77"/>
      <c r="AV58" s="77"/>
      <c r="AW58" s="77"/>
      <c r="AX58" s="77"/>
      <c r="AY58" s="77"/>
      <c r="AZ58" s="77"/>
      <c r="BA58" s="77"/>
      <c r="BB58" s="77"/>
      <c r="BC58" s="77"/>
      <c r="BD58" s="77"/>
      <c r="BE58" s="77"/>
      <c r="BF58" s="77"/>
      <c r="BG58" s="77"/>
      <c r="BH58" s="77"/>
      <c r="BI58" s="77"/>
      <c r="BJ58" s="77"/>
      <c r="BK58" s="77"/>
      <c r="BL58" s="77"/>
      <c r="BM58" s="77"/>
      <c r="BN58" s="77"/>
      <c r="BO58" s="77"/>
      <c r="BP58" s="77"/>
      <c r="BQ58" s="77"/>
      <c r="BR58" s="77"/>
      <c r="BS58" s="77"/>
      <c r="BT58" s="77"/>
      <c r="BU58" s="78"/>
      <c r="BV58" s="78"/>
      <c r="BW58" s="78"/>
      <c r="BX58" s="78"/>
    </row>
    <row r="59" spans="1:76" x14ac:dyDescent="0.3">
      <c r="A59" s="78"/>
      <c r="B59" s="78"/>
      <c r="C59" s="77"/>
      <c r="D59" s="78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  <c r="AI59" s="77"/>
      <c r="AJ59" s="77"/>
      <c r="AK59" s="77"/>
      <c r="AL59" s="77"/>
      <c r="AM59" s="77"/>
      <c r="AN59" s="77"/>
      <c r="AO59" s="77"/>
      <c r="AP59" s="77"/>
      <c r="AQ59" s="77"/>
      <c r="AR59" s="77"/>
      <c r="AS59" s="77"/>
      <c r="AT59" s="77"/>
      <c r="AU59" s="77"/>
      <c r="AV59" s="77"/>
      <c r="AW59" s="77"/>
      <c r="AX59" s="77"/>
      <c r="AY59" s="77"/>
      <c r="AZ59" s="77"/>
      <c r="BA59" s="77"/>
      <c r="BB59" s="77"/>
      <c r="BC59" s="77"/>
      <c r="BD59" s="77"/>
      <c r="BE59" s="77"/>
      <c r="BF59" s="77"/>
      <c r="BG59" s="77"/>
      <c r="BH59" s="77"/>
      <c r="BI59" s="77"/>
      <c r="BJ59" s="77"/>
      <c r="BK59" s="77"/>
      <c r="BL59" s="77"/>
      <c r="BM59" s="77"/>
      <c r="BN59" s="77"/>
      <c r="BO59" s="77"/>
      <c r="BP59" s="77"/>
      <c r="BQ59" s="77"/>
      <c r="BR59" s="77"/>
      <c r="BS59" s="77"/>
      <c r="BT59" s="77"/>
      <c r="BU59" s="78"/>
      <c r="BV59" s="78"/>
      <c r="BW59" s="78"/>
      <c r="BX59" s="78"/>
    </row>
  </sheetData>
  <autoFilter ref="C11:BU54" xr:uid="{5B728C7B-9475-4B02-8B4D-6C91ABA364A6}"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</autoFilter>
  <mergeCells count="12">
    <mergeCell ref="BQ11:BQ13"/>
    <mergeCell ref="BT11:BT13"/>
    <mergeCell ref="BU11:BU13"/>
    <mergeCell ref="C54:E54"/>
    <mergeCell ref="BR11:BR13"/>
    <mergeCell ref="BS11:BS13"/>
    <mergeCell ref="C11:C13"/>
    <mergeCell ref="D11:D13"/>
    <mergeCell ref="E11:E13"/>
    <mergeCell ref="F11:AJ11"/>
    <mergeCell ref="AK11:AK13"/>
    <mergeCell ref="AL11:BP11"/>
  </mergeCells>
  <conditionalFormatting sqref="F12:AJ54 AL12:BP54">
    <cfRule type="expression" dxfId="15" priority="3">
      <formula>OR(WEEKDAY($D$1+F$12)=1,WEEKDAY($D$1+F$12)=7)</formula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C555C-A943-422B-8390-3EEDBA1D6C3F}">
  <sheetPr codeName="Sheet14"/>
  <dimension ref="A1:BX59"/>
  <sheetViews>
    <sheetView showGridLines="0" showRowColHeaders="0" workbookViewId="0">
      <pane xSplit="5" ySplit="13" topLeftCell="F14" activePane="bottomRight" state="frozen"/>
      <selection pane="topRight" activeCell="F1" sqref="F1"/>
      <selection pane="bottomLeft" activeCell="A14" sqref="A14"/>
      <selection pane="bottomRight"/>
    </sheetView>
  </sheetViews>
  <sheetFormatPr defaultColWidth="0" defaultRowHeight="14.4" zeroHeight="1" x14ac:dyDescent="0.3"/>
  <cols>
    <col min="1" max="1" width="8.88671875" style="2" customWidth="1"/>
    <col min="2" max="2" width="3.33203125" style="2" customWidth="1"/>
    <col min="3" max="3" width="5.21875" style="3" customWidth="1"/>
    <col min="4" max="4" width="23" style="2" bestFit="1" customWidth="1"/>
    <col min="5" max="5" width="12" style="3" customWidth="1"/>
    <col min="6" max="36" width="3.44140625" style="3" bestFit="1" customWidth="1"/>
    <col min="37" max="37" width="6.77734375" style="3" customWidth="1"/>
    <col min="38" max="68" width="3.44140625" style="3" bestFit="1" customWidth="1"/>
    <col min="69" max="72" width="6.77734375" style="3" customWidth="1"/>
    <col min="73" max="73" width="9.88671875" style="2" customWidth="1"/>
    <col min="74" max="74" width="3.33203125" style="2" customWidth="1"/>
    <col min="75" max="75" width="8.88671875" style="2" customWidth="1"/>
    <col min="76" max="76" width="8.88671875" style="2" hidden="1" customWidth="1"/>
    <col min="77" max="16384" width="8.88671875" style="2" hidden="1"/>
  </cols>
  <sheetData>
    <row r="1" spans="1:76" s="104" customFormat="1" x14ac:dyDescent="0.3">
      <c r="C1" s="105"/>
      <c r="D1" s="106">
        <f>D2-1</f>
        <v>44469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</row>
    <row r="2" spans="1:76" s="104" customFormat="1" x14ac:dyDescent="0.3">
      <c r="C2" s="105"/>
      <c r="D2" s="107" t="str">
        <f>"01/10/"&amp;E9</f>
        <v>01/10/2021</v>
      </c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105"/>
      <c r="BP2" s="105"/>
      <c r="BQ2" s="105"/>
      <c r="BR2" s="105"/>
      <c r="BS2" s="105"/>
      <c r="BT2" s="105"/>
    </row>
    <row r="3" spans="1:76" s="110" customFormat="1" x14ac:dyDescent="0.3">
      <c r="C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1"/>
      <c r="AU3" s="111"/>
      <c r="AV3" s="111"/>
      <c r="AW3" s="111"/>
      <c r="AX3" s="111"/>
      <c r="AY3" s="111"/>
      <c r="AZ3" s="111"/>
      <c r="BA3" s="111"/>
      <c r="BB3" s="111"/>
      <c r="BC3" s="111"/>
      <c r="BD3" s="111"/>
      <c r="BE3" s="111"/>
      <c r="BF3" s="111"/>
      <c r="BG3" s="111"/>
      <c r="BH3" s="111"/>
      <c r="BI3" s="111"/>
      <c r="BJ3" s="111"/>
      <c r="BK3" s="111"/>
      <c r="BL3" s="111"/>
      <c r="BM3" s="111"/>
      <c r="BN3" s="111"/>
      <c r="BO3" s="111"/>
      <c r="BP3" s="111"/>
      <c r="BQ3" s="111"/>
      <c r="BR3" s="111"/>
      <c r="BS3" s="111"/>
      <c r="BT3" s="111"/>
    </row>
    <row r="4" spans="1:76" x14ac:dyDescent="0.3">
      <c r="A4" s="78"/>
      <c r="B4" s="78"/>
      <c r="C4" s="77"/>
      <c r="D4" s="79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  <c r="BC4" s="77"/>
      <c r="BD4" s="77"/>
      <c r="BE4" s="77"/>
      <c r="BF4" s="77"/>
      <c r="BG4" s="77"/>
      <c r="BH4" s="77"/>
      <c r="BI4" s="77"/>
      <c r="BJ4" s="77"/>
      <c r="BK4" s="77"/>
      <c r="BL4" s="77"/>
      <c r="BM4" s="77"/>
      <c r="BN4" s="77"/>
      <c r="BO4" s="77"/>
      <c r="BP4" s="77"/>
      <c r="BQ4" s="77"/>
      <c r="BR4" s="77"/>
      <c r="BS4" s="77"/>
      <c r="BT4" s="77"/>
      <c r="BU4" s="78"/>
      <c r="BV4" s="78"/>
      <c r="BW4" s="78"/>
      <c r="BX4" s="78"/>
    </row>
    <row r="5" spans="1:76" x14ac:dyDescent="0.3">
      <c r="A5" s="78"/>
      <c r="BW5" s="78"/>
      <c r="BX5" s="78"/>
    </row>
    <row r="6" spans="1:76" x14ac:dyDescent="0.3">
      <c r="A6" s="78"/>
      <c r="D6" s="41" t="s">
        <v>49</v>
      </c>
      <c r="E6" s="42">
        <f>COUNTIFS(F13:AJ13,"&gt;1",F13:AJ13,"&lt;7")</f>
        <v>21</v>
      </c>
      <c r="BW6" s="78"/>
      <c r="BX6" s="78"/>
    </row>
    <row r="7" spans="1:76" x14ac:dyDescent="0.3">
      <c r="A7" s="78"/>
      <c r="C7" s="1"/>
      <c r="D7" s="1"/>
      <c r="BW7" s="78"/>
      <c r="BX7" s="78"/>
    </row>
    <row r="8" spans="1:76" ht="25.8" x14ac:dyDescent="0.5">
      <c r="A8" s="78"/>
      <c r="D8" s="39" t="s">
        <v>50</v>
      </c>
      <c r="E8" s="39"/>
      <c r="BW8" s="78"/>
      <c r="BX8" s="78"/>
    </row>
    <row r="9" spans="1:76" x14ac:dyDescent="0.3">
      <c r="A9" s="78"/>
      <c r="D9" s="40" t="s">
        <v>96</v>
      </c>
      <c r="E9" s="1">
        <v>2021</v>
      </c>
      <c r="BW9" s="78"/>
      <c r="BX9" s="78"/>
    </row>
    <row r="10" spans="1:76" x14ac:dyDescent="0.3">
      <c r="A10" s="78"/>
      <c r="BW10" s="78"/>
      <c r="BX10" s="78"/>
    </row>
    <row r="11" spans="1:76" ht="13.8" customHeight="1" x14ac:dyDescent="0.3">
      <c r="A11" s="78"/>
      <c r="C11" s="120" t="s">
        <v>1</v>
      </c>
      <c r="D11" s="120" t="s">
        <v>2</v>
      </c>
      <c r="E11" s="120" t="s">
        <v>6</v>
      </c>
      <c r="F11" s="120" t="s">
        <v>51</v>
      </c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/>
      <c r="AK11" s="119" t="s">
        <v>54</v>
      </c>
      <c r="AL11" s="120" t="s">
        <v>52</v>
      </c>
      <c r="AM11" s="120"/>
      <c r="AN11" s="120"/>
      <c r="AO11" s="120"/>
      <c r="AP11" s="120"/>
      <c r="AQ11" s="120"/>
      <c r="AR11" s="120"/>
      <c r="AS11" s="120"/>
      <c r="AT11" s="120"/>
      <c r="AU11" s="120"/>
      <c r="AV11" s="120"/>
      <c r="AW11" s="120"/>
      <c r="AX11" s="120"/>
      <c r="AY11" s="120"/>
      <c r="AZ11" s="120"/>
      <c r="BA11" s="120"/>
      <c r="BB11" s="120"/>
      <c r="BC11" s="120"/>
      <c r="BD11" s="120"/>
      <c r="BE11" s="120"/>
      <c r="BF11" s="120"/>
      <c r="BG11" s="120"/>
      <c r="BH11" s="120"/>
      <c r="BI11" s="120"/>
      <c r="BJ11" s="120"/>
      <c r="BK11" s="120"/>
      <c r="BL11" s="120"/>
      <c r="BM11" s="120"/>
      <c r="BN11" s="120"/>
      <c r="BO11" s="120"/>
      <c r="BP11" s="120"/>
      <c r="BQ11" s="119" t="s">
        <v>112</v>
      </c>
      <c r="BR11" s="122" t="s">
        <v>113</v>
      </c>
      <c r="BS11" s="122" t="s">
        <v>114</v>
      </c>
      <c r="BT11" s="119" t="s">
        <v>53</v>
      </c>
      <c r="BU11" s="120" t="s">
        <v>8</v>
      </c>
      <c r="BW11" s="78"/>
      <c r="BX11" s="78"/>
    </row>
    <row r="12" spans="1:76" x14ac:dyDescent="0.3">
      <c r="A12" s="78"/>
      <c r="C12" s="120"/>
      <c r="D12" s="120"/>
      <c r="E12" s="120"/>
      <c r="F12" s="18">
        <v>1</v>
      </c>
      <c r="G12" s="18">
        <v>2</v>
      </c>
      <c r="H12" s="18">
        <v>3</v>
      </c>
      <c r="I12" s="18">
        <v>4</v>
      </c>
      <c r="J12" s="18">
        <v>5</v>
      </c>
      <c r="K12" s="18">
        <v>6</v>
      </c>
      <c r="L12" s="18">
        <v>7</v>
      </c>
      <c r="M12" s="18">
        <v>8</v>
      </c>
      <c r="N12" s="18">
        <v>9</v>
      </c>
      <c r="O12" s="18">
        <v>10</v>
      </c>
      <c r="P12" s="18">
        <v>11</v>
      </c>
      <c r="Q12" s="18">
        <v>12</v>
      </c>
      <c r="R12" s="18">
        <v>13</v>
      </c>
      <c r="S12" s="18">
        <v>14</v>
      </c>
      <c r="T12" s="18">
        <v>15</v>
      </c>
      <c r="U12" s="18">
        <v>16</v>
      </c>
      <c r="V12" s="18">
        <v>17</v>
      </c>
      <c r="W12" s="18">
        <v>18</v>
      </c>
      <c r="X12" s="18">
        <v>19</v>
      </c>
      <c r="Y12" s="18">
        <v>20</v>
      </c>
      <c r="Z12" s="18">
        <v>21</v>
      </c>
      <c r="AA12" s="18">
        <v>22</v>
      </c>
      <c r="AB12" s="18">
        <v>23</v>
      </c>
      <c r="AC12" s="18">
        <v>24</v>
      </c>
      <c r="AD12" s="18">
        <v>25</v>
      </c>
      <c r="AE12" s="18">
        <v>26</v>
      </c>
      <c r="AF12" s="18">
        <v>27</v>
      </c>
      <c r="AG12" s="18">
        <v>28</v>
      </c>
      <c r="AH12" s="18">
        <v>29</v>
      </c>
      <c r="AI12" s="18">
        <v>30</v>
      </c>
      <c r="AJ12" s="18">
        <v>31</v>
      </c>
      <c r="AK12" s="119"/>
      <c r="AL12" s="18">
        <v>1</v>
      </c>
      <c r="AM12" s="18">
        <v>2</v>
      </c>
      <c r="AN12" s="18">
        <v>3</v>
      </c>
      <c r="AO12" s="18">
        <v>4</v>
      </c>
      <c r="AP12" s="18">
        <v>5</v>
      </c>
      <c r="AQ12" s="18">
        <v>6</v>
      </c>
      <c r="AR12" s="18">
        <v>7</v>
      </c>
      <c r="AS12" s="18">
        <v>8</v>
      </c>
      <c r="AT12" s="18">
        <v>9</v>
      </c>
      <c r="AU12" s="18">
        <v>10</v>
      </c>
      <c r="AV12" s="18">
        <v>11</v>
      </c>
      <c r="AW12" s="18">
        <v>12</v>
      </c>
      <c r="AX12" s="18">
        <v>13</v>
      </c>
      <c r="AY12" s="18">
        <v>14</v>
      </c>
      <c r="AZ12" s="18">
        <v>15</v>
      </c>
      <c r="BA12" s="18">
        <v>16</v>
      </c>
      <c r="BB12" s="18">
        <v>17</v>
      </c>
      <c r="BC12" s="18">
        <v>18</v>
      </c>
      <c r="BD12" s="18">
        <v>19</v>
      </c>
      <c r="BE12" s="18">
        <v>20</v>
      </c>
      <c r="BF12" s="18">
        <v>21</v>
      </c>
      <c r="BG12" s="18">
        <v>22</v>
      </c>
      <c r="BH12" s="18">
        <v>23</v>
      </c>
      <c r="BI12" s="18">
        <v>24</v>
      </c>
      <c r="BJ12" s="18">
        <v>25</v>
      </c>
      <c r="BK12" s="18">
        <v>26</v>
      </c>
      <c r="BL12" s="18">
        <v>27</v>
      </c>
      <c r="BM12" s="18">
        <v>28</v>
      </c>
      <c r="BN12" s="18">
        <v>29</v>
      </c>
      <c r="BO12" s="18">
        <v>30</v>
      </c>
      <c r="BP12" s="18">
        <v>31</v>
      </c>
      <c r="BQ12" s="119"/>
      <c r="BR12" s="123"/>
      <c r="BS12" s="123"/>
      <c r="BT12" s="119"/>
      <c r="BU12" s="120"/>
      <c r="BW12" s="78"/>
      <c r="BX12" s="78"/>
    </row>
    <row r="13" spans="1:76" ht="25.8" x14ac:dyDescent="0.3">
      <c r="A13" s="78"/>
      <c r="C13" s="120"/>
      <c r="D13" s="120"/>
      <c r="E13" s="120"/>
      <c r="F13" s="38">
        <f>WEEKDAY($D$1+F12)</f>
        <v>6</v>
      </c>
      <c r="G13" s="38">
        <f t="shared" ref="G13:AJ13" si="0">WEEKDAY($D$1+G12)</f>
        <v>7</v>
      </c>
      <c r="H13" s="38">
        <f t="shared" si="0"/>
        <v>1</v>
      </c>
      <c r="I13" s="38">
        <f t="shared" si="0"/>
        <v>2</v>
      </c>
      <c r="J13" s="38">
        <f t="shared" si="0"/>
        <v>3</v>
      </c>
      <c r="K13" s="38">
        <f t="shared" si="0"/>
        <v>4</v>
      </c>
      <c r="L13" s="38">
        <f t="shared" si="0"/>
        <v>5</v>
      </c>
      <c r="M13" s="38">
        <f t="shared" si="0"/>
        <v>6</v>
      </c>
      <c r="N13" s="38">
        <f t="shared" si="0"/>
        <v>7</v>
      </c>
      <c r="O13" s="38">
        <f t="shared" si="0"/>
        <v>1</v>
      </c>
      <c r="P13" s="38">
        <f t="shared" si="0"/>
        <v>2</v>
      </c>
      <c r="Q13" s="38">
        <f t="shared" si="0"/>
        <v>3</v>
      </c>
      <c r="R13" s="38">
        <f t="shared" si="0"/>
        <v>4</v>
      </c>
      <c r="S13" s="38">
        <f t="shared" si="0"/>
        <v>5</v>
      </c>
      <c r="T13" s="38">
        <f t="shared" si="0"/>
        <v>6</v>
      </c>
      <c r="U13" s="38">
        <f t="shared" si="0"/>
        <v>7</v>
      </c>
      <c r="V13" s="38">
        <f t="shared" si="0"/>
        <v>1</v>
      </c>
      <c r="W13" s="38">
        <f t="shared" si="0"/>
        <v>2</v>
      </c>
      <c r="X13" s="38">
        <f t="shared" si="0"/>
        <v>3</v>
      </c>
      <c r="Y13" s="38">
        <f t="shared" si="0"/>
        <v>4</v>
      </c>
      <c r="Z13" s="38">
        <f t="shared" si="0"/>
        <v>5</v>
      </c>
      <c r="AA13" s="38">
        <f t="shared" si="0"/>
        <v>6</v>
      </c>
      <c r="AB13" s="38">
        <f t="shared" si="0"/>
        <v>7</v>
      </c>
      <c r="AC13" s="38">
        <f t="shared" si="0"/>
        <v>1</v>
      </c>
      <c r="AD13" s="38">
        <f t="shared" si="0"/>
        <v>2</v>
      </c>
      <c r="AE13" s="38">
        <f t="shared" si="0"/>
        <v>3</v>
      </c>
      <c r="AF13" s="38">
        <f t="shared" si="0"/>
        <v>4</v>
      </c>
      <c r="AG13" s="38">
        <f t="shared" si="0"/>
        <v>5</v>
      </c>
      <c r="AH13" s="38">
        <f t="shared" si="0"/>
        <v>6</v>
      </c>
      <c r="AI13" s="38">
        <f t="shared" si="0"/>
        <v>7</v>
      </c>
      <c r="AJ13" s="38">
        <f t="shared" si="0"/>
        <v>1</v>
      </c>
      <c r="AK13" s="119"/>
      <c r="AL13" s="38">
        <f>WEEKDAY($D$1+AL12)</f>
        <v>6</v>
      </c>
      <c r="AM13" s="38">
        <f t="shared" ref="AM13:BP13" si="1">WEEKDAY($D$1+AM12)</f>
        <v>7</v>
      </c>
      <c r="AN13" s="38">
        <f t="shared" si="1"/>
        <v>1</v>
      </c>
      <c r="AO13" s="38">
        <f t="shared" si="1"/>
        <v>2</v>
      </c>
      <c r="AP13" s="38">
        <f t="shared" si="1"/>
        <v>3</v>
      </c>
      <c r="AQ13" s="38">
        <f t="shared" si="1"/>
        <v>4</v>
      </c>
      <c r="AR13" s="38">
        <f t="shared" si="1"/>
        <v>5</v>
      </c>
      <c r="AS13" s="38">
        <f t="shared" si="1"/>
        <v>6</v>
      </c>
      <c r="AT13" s="38">
        <f t="shared" si="1"/>
        <v>7</v>
      </c>
      <c r="AU13" s="38">
        <f t="shared" si="1"/>
        <v>1</v>
      </c>
      <c r="AV13" s="38">
        <f t="shared" si="1"/>
        <v>2</v>
      </c>
      <c r="AW13" s="38">
        <f t="shared" si="1"/>
        <v>3</v>
      </c>
      <c r="AX13" s="38">
        <f t="shared" si="1"/>
        <v>4</v>
      </c>
      <c r="AY13" s="38">
        <f t="shared" si="1"/>
        <v>5</v>
      </c>
      <c r="AZ13" s="38">
        <f t="shared" si="1"/>
        <v>6</v>
      </c>
      <c r="BA13" s="38">
        <f t="shared" si="1"/>
        <v>7</v>
      </c>
      <c r="BB13" s="38">
        <f t="shared" si="1"/>
        <v>1</v>
      </c>
      <c r="BC13" s="38">
        <f t="shared" si="1"/>
        <v>2</v>
      </c>
      <c r="BD13" s="38">
        <f t="shared" si="1"/>
        <v>3</v>
      </c>
      <c r="BE13" s="38">
        <f t="shared" si="1"/>
        <v>4</v>
      </c>
      <c r="BF13" s="38">
        <f t="shared" si="1"/>
        <v>5</v>
      </c>
      <c r="BG13" s="38">
        <f t="shared" si="1"/>
        <v>6</v>
      </c>
      <c r="BH13" s="38">
        <f t="shared" si="1"/>
        <v>7</v>
      </c>
      <c r="BI13" s="38">
        <f t="shared" si="1"/>
        <v>1</v>
      </c>
      <c r="BJ13" s="38">
        <f t="shared" si="1"/>
        <v>2</v>
      </c>
      <c r="BK13" s="38">
        <f t="shared" si="1"/>
        <v>3</v>
      </c>
      <c r="BL13" s="38">
        <f t="shared" si="1"/>
        <v>4</v>
      </c>
      <c r="BM13" s="38">
        <f t="shared" si="1"/>
        <v>5</v>
      </c>
      <c r="BN13" s="38">
        <f t="shared" si="1"/>
        <v>6</v>
      </c>
      <c r="BO13" s="38">
        <f t="shared" si="1"/>
        <v>7</v>
      </c>
      <c r="BP13" s="38">
        <f t="shared" si="1"/>
        <v>1</v>
      </c>
      <c r="BQ13" s="119"/>
      <c r="BR13" s="124"/>
      <c r="BS13" s="124"/>
      <c r="BT13" s="119"/>
      <c r="BU13" s="120"/>
      <c r="BW13" s="78"/>
      <c r="BX13" s="78"/>
    </row>
    <row r="14" spans="1:76" x14ac:dyDescent="0.3">
      <c r="A14" s="78"/>
      <c r="C14" s="4">
        <v>1</v>
      </c>
      <c r="D14" s="5" t="str">
        <f>IF(VLOOKUP(C14,DSNV!$C$8:$N$48,3,FALSE)=0,"",VLOOKUP(C14,DSNV!$C$8:$N$48,3,FALSE))</f>
        <v>Nguyễn Võ Như Bình</v>
      </c>
      <c r="E14" s="4" t="str">
        <f>IF(VLOOKUP(C14,DSNV!$C$8:$N$48,8,FALSE)="","",VLOOKUP(C14,DSNV!$C$8:$N$48,8,FALSE))</f>
        <v>Thành viên</v>
      </c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>
        <f>SUM(F14:AJ14)</f>
        <v>0</v>
      </c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>
        <f>SUM(AL14:BP14)</f>
        <v>0</v>
      </c>
      <c r="BR14" s="4"/>
      <c r="BS14" s="4"/>
      <c r="BT14" s="45">
        <f>SUM(AK14,BQ14:BS14)</f>
        <v>0</v>
      </c>
      <c r="BU14" s="5"/>
      <c r="BW14" s="78"/>
      <c r="BX14" s="78"/>
    </row>
    <row r="15" spans="1:76" x14ac:dyDescent="0.3">
      <c r="A15" s="78"/>
      <c r="C15" s="6">
        <v>2</v>
      </c>
      <c r="D15" s="5" t="str">
        <f>IF(VLOOKUP(C15,DSNV!$C$8:$N$48,3,FALSE)=0,"",VLOOKUP(C15,DSNV!$C$8:$N$48,3,FALSE))</f>
        <v>Võ Khánh Đoan</v>
      </c>
      <c r="E15" s="4" t="str">
        <f>IF(VLOOKUP(C15,DSNV!$C$8:$N$48,8,FALSE)="","",VLOOKUP(C15,DSNV!$C$8:$N$48,8,FALSE))</f>
        <v>Thành viên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4">
        <f t="shared" ref="AK15:AK53" si="2">SUM(F15:AJ15)</f>
        <v>0</v>
      </c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4">
        <f t="shared" ref="BQ15:BQ53" si="3">SUM(AL15:BP15)</f>
        <v>0</v>
      </c>
      <c r="BR15" s="4"/>
      <c r="BS15" s="4"/>
      <c r="BT15" s="45">
        <f t="shared" ref="BT15:BT53" si="4">SUM(AK15,BQ15:BS15)</f>
        <v>0</v>
      </c>
      <c r="BU15" s="7"/>
      <c r="BW15" s="78"/>
      <c r="BX15" s="78"/>
    </row>
    <row r="16" spans="1:76" x14ac:dyDescent="0.3">
      <c r="A16" s="78"/>
      <c r="C16" s="6">
        <v>3</v>
      </c>
      <c r="D16" s="5" t="str">
        <f>IF(VLOOKUP(C16,DSNV!$C$8:$N$48,3,FALSE)=0,"",VLOOKUP(C16,DSNV!$C$8:$N$48,3,FALSE))</f>
        <v>Nguyễn Thu Hà</v>
      </c>
      <c r="E16" s="4" t="str">
        <f>IF(VLOOKUP(C16,DSNV!$C$8:$N$48,8,FALSE)="","",VLOOKUP(C16,DSNV!$C$8:$N$48,8,FALSE))</f>
        <v>Thành viên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4">
        <f t="shared" si="2"/>
        <v>0</v>
      </c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4">
        <f t="shared" si="3"/>
        <v>0</v>
      </c>
      <c r="BR16" s="4"/>
      <c r="BS16" s="4"/>
      <c r="BT16" s="45">
        <f t="shared" si="4"/>
        <v>0</v>
      </c>
      <c r="BU16" s="7"/>
      <c r="BW16" s="78"/>
      <c r="BX16" s="78"/>
    </row>
    <row r="17" spans="1:76" x14ac:dyDescent="0.3">
      <c r="A17" s="78"/>
      <c r="C17" s="6">
        <v>4</v>
      </c>
      <c r="D17" s="5" t="str">
        <f>IF(VLOOKUP(C17,DSNV!$C$8:$N$48,3,FALSE)=0,"",VLOOKUP(C17,DSNV!$C$8:$N$48,3,FALSE))</f>
        <v>Trương Thị Phú Hiệp</v>
      </c>
      <c r="E17" s="4" t="str">
        <f>IF(VLOOKUP(C17,DSNV!$C$8:$N$48,8,FALSE)="","",VLOOKUP(C17,DSNV!$C$8:$N$48,8,FALSE))</f>
        <v>Thành viên</v>
      </c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4">
        <f t="shared" si="2"/>
        <v>0</v>
      </c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4">
        <f t="shared" si="3"/>
        <v>0</v>
      </c>
      <c r="BR17" s="4"/>
      <c r="BS17" s="4"/>
      <c r="BT17" s="45">
        <f t="shared" si="4"/>
        <v>0</v>
      </c>
      <c r="BU17" s="7"/>
      <c r="BW17" s="78"/>
      <c r="BX17" s="78"/>
    </row>
    <row r="18" spans="1:76" x14ac:dyDescent="0.3">
      <c r="A18" s="78"/>
      <c r="C18" s="6">
        <v>5</v>
      </c>
      <c r="D18" s="5" t="str">
        <f>IF(VLOOKUP(C18,DSNV!$C$8:$N$48,3,FALSE)=0,"",VLOOKUP(C18,DSNV!$C$8:$N$48,3,FALSE))</f>
        <v>Nguyễn Thị Bích Hồng</v>
      </c>
      <c r="E18" s="4" t="str">
        <f>IF(VLOOKUP(C18,DSNV!$C$8:$N$48,8,FALSE)="","",VLOOKUP(C18,DSNV!$C$8:$N$48,8,FALSE))</f>
        <v>Thành viên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4">
        <f t="shared" si="2"/>
        <v>0</v>
      </c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4">
        <f t="shared" si="3"/>
        <v>0</v>
      </c>
      <c r="BR18" s="4"/>
      <c r="BS18" s="4"/>
      <c r="BT18" s="45">
        <f t="shared" si="4"/>
        <v>0</v>
      </c>
      <c r="BU18" s="7"/>
      <c r="BW18" s="78"/>
      <c r="BX18" s="78"/>
    </row>
    <row r="19" spans="1:76" x14ac:dyDescent="0.3">
      <c r="A19" s="78"/>
      <c r="C19" s="6">
        <v>6</v>
      </c>
      <c r="D19" s="5" t="str">
        <f>IF(VLOOKUP(C19,DSNV!$C$8:$N$48,3,FALSE)=0,"",VLOOKUP(C19,DSNV!$C$8:$N$48,3,FALSE))</f>
        <v>Phạm Thị Ngọc Hồng</v>
      </c>
      <c r="E19" s="4" t="str">
        <f>IF(VLOOKUP(C19,DSNV!$C$8:$N$48,8,FALSE)="","",VLOOKUP(C19,DSNV!$C$8:$N$48,8,FALSE))</f>
        <v>Thành viên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4">
        <f t="shared" si="2"/>
        <v>0</v>
      </c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4">
        <f t="shared" si="3"/>
        <v>0</v>
      </c>
      <c r="BR19" s="4">
        <f>BQ19/2</f>
        <v>0</v>
      </c>
      <c r="BS19" s="4"/>
      <c r="BT19" s="45">
        <f t="shared" si="4"/>
        <v>0</v>
      </c>
      <c r="BU19" s="7"/>
      <c r="BW19" s="78"/>
      <c r="BX19" s="78"/>
    </row>
    <row r="20" spans="1:76" x14ac:dyDescent="0.3">
      <c r="A20" s="78"/>
      <c r="C20" s="6">
        <v>7</v>
      </c>
      <c r="D20" s="5" t="str">
        <f>IF(VLOOKUP(C20,DSNV!$C$8:$N$48,3,FALSE)=0,"",VLOOKUP(C20,DSNV!$C$8:$N$48,3,FALSE))</f>
        <v>Phạm Thị Huệ</v>
      </c>
      <c r="E20" s="4" t="str">
        <f>IF(VLOOKUP(C20,DSNV!$C$8:$N$48,8,FALSE)="","",VLOOKUP(C20,DSNV!$C$8:$N$48,8,FALSE))</f>
        <v>Trưởng ban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4">
        <f t="shared" si="2"/>
        <v>0</v>
      </c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4">
        <f t="shared" si="3"/>
        <v>0</v>
      </c>
      <c r="BR20" s="4">
        <f t="shared" ref="BR20:BR21" si="5">BQ20/2</f>
        <v>0</v>
      </c>
      <c r="BS20" s="4"/>
      <c r="BT20" s="45">
        <f t="shared" si="4"/>
        <v>0</v>
      </c>
      <c r="BU20" s="7" t="s">
        <v>166</v>
      </c>
      <c r="BW20" s="78"/>
      <c r="BX20" s="78"/>
    </row>
    <row r="21" spans="1:76" x14ac:dyDescent="0.3">
      <c r="A21" s="78"/>
      <c r="C21" s="6">
        <v>8</v>
      </c>
      <c r="D21" s="5" t="str">
        <f>IF(VLOOKUP(C21,DSNV!$C$8:$N$48,3,FALSE)=0,"",VLOOKUP(C21,DSNV!$C$8:$N$48,3,FALSE))</f>
        <v>Nguyễn Thị Quỳnh Hương</v>
      </c>
      <c r="E21" s="4" t="str">
        <f>IF(VLOOKUP(C21,DSNV!$C$8:$N$48,8,FALSE)="","",VLOOKUP(C21,DSNV!$C$8:$N$48,8,FALSE))</f>
        <v>Trưởng ban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4">
        <f t="shared" si="2"/>
        <v>0</v>
      </c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4">
        <f t="shared" si="3"/>
        <v>0</v>
      </c>
      <c r="BR21" s="4">
        <f t="shared" si="5"/>
        <v>0</v>
      </c>
      <c r="BS21" s="4"/>
      <c r="BT21" s="45">
        <f t="shared" si="4"/>
        <v>0</v>
      </c>
      <c r="BU21" s="7"/>
      <c r="BW21" s="78"/>
      <c r="BX21" s="78"/>
    </row>
    <row r="22" spans="1:76" x14ac:dyDescent="0.3">
      <c r="A22" s="78"/>
      <c r="C22" s="6">
        <v>9</v>
      </c>
      <c r="D22" s="5" t="str">
        <f>IF(VLOOKUP(C22,DSNV!$C$8:$N$48,3,FALSE)=0,"",VLOOKUP(C22,DSNV!$C$8:$N$48,3,FALSE))</f>
        <v>Huỳnh Thanh Huyên</v>
      </c>
      <c r="E22" s="4" t="str">
        <f>IF(VLOOKUP(C22,DSNV!$C$8:$N$48,8,FALSE)="","",VLOOKUP(C22,DSNV!$C$8:$N$48,8,FALSE))</f>
        <v>Thành viên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4">
        <f t="shared" si="2"/>
        <v>0</v>
      </c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4">
        <f t="shared" si="3"/>
        <v>0</v>
      </c>
      <c r="BR22" s="4"/>
      <c r="BS22" s="4"/>
      <c r="BT22" s="45">
        <f t="shared" si="4"/>
        <v>0</v>
      </c>
      <c r="BU22" s="7"/>
      <c r="BW22" s="78"/>
      <c r="BX22" s="78"/>
    </row>
    <row r="23" spans="1:76" x14ac:dyDescent="0.3">
      <c r="A23" s="78"/>
      <c r="C23" s="6">
        <v>10</v>
      </c>
      <c r="D23" s="5" t="str">
        <f>IF(VLOOKUP(C23,DSNV!$C$8:$N$48,3,FALSE)=0,"",VLOOKUP(C23,DSNV!$C$8:$N$48,3,FALSE))</f>
        <v>Lê Hữu Di Mi</v>
      </c>
      <c r="E23" s="4" t="str">
        <f>IF(VLOOKUP(C23,DSNV!$C$8:$N$48,8,FALSE)="","",VLOOKUP(C23,DSNV!$C$8:$N$48,8,FALSE))</f>
        <v>Thành viên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4">
        <f t="shared" si="2"/>
        <v>0</v>
      </c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4">
        <f t="shared" si="3"/>
        <v>0</v>
      </c>
      <c r="BR23" s="4"/>
      <c r="BS23" s="4"/>
      <c r="BT23" s="45">
        <f t="shared" si="4"/>
        <v>0</v>
      </c>
      <c r="BU23" s="7"/>
      <c r="BW23" s="78"/>
      <c r="BX23" s="78"/>
    </row>
    <row r="24" spans="1:76" x14ac:dyDescent="0.3">
      <c r="A24" s="78"/>
      <c r="C24" s="6">
        <v>11</v>
      </c>
      <c r="D24" s="5" t="str">
        <f>IF(VLOOKUP(C24,DSNV!$C$8:$N$48,3,FALSE)=0,"",VLOOKUP(C24,DSNV!$C$8:$N$48,3,FALSE))</f>
        <v>Nguyễn Nhựt Minh</v>
      </c>
      <c r="E24" s="4" t="str">
        <f>IF(VLOOKUP(C24,DSNV!$C$8:$N$48,8,FALSE)="","",VLOOKUP(C24,DSNV!$C$8:$N$48,8,FALSE))</f>
        <v>Trưởng ban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4">
        <f t="shared" si="2"/>
        <v>0</v>
      </c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4">
        <f t="shared" si="3"/>
        <v>0</v>
      </c>
      <c r="BR24" s="4">
        <f>BQ24/2</f>
        <v>0</v>
      </c>
      <c r="BS24" s="4"/>
      <c r="BT24" s="45">
        <f t="shared" si="4"/>
        <v>0</v>
      </c>
      <c r="BU24" s="7"/>
      <c r="BW24" s="78"/>
      <c r="BX24" s="78"/>
    </row>
    <row r="25" spans="1:76" x14ac:dyDescent="0.3">
      <c r="A25" s="78"/>
      <c r="C25" s="6">
        <v>12</v>
      </c>
      <c r="D25" s="5" t="str">
        <f>IF(VLOOKUP(C25,DSNV!$C$8:$N$48,3,FALSE)=0,"",VLOOKUP(C25,DSNV!$C$8:$N$48,3,FALSE))</f>
        <v>Lê Thảo Nguyên</v>
      </c>
      <c r="E25" s="4" t="str">
        <f>IF(VLOOKUP(C25,DSNV!$C$8:$N$48,8,FALSE)="","",VLOOKUP(C25,DSNV!$C$8:$N$48,8,FALSE))</f>
        <v>Thành viên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4">
        <f t="shared" si="2"/>
        <v>0</v>
      </c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4">
        <f t="shared" si="3"/>
        <v>0</v>
      </c>
      <c r="BR25" s="4">
        <f>BQ25/2</f>
        <v>0</v>
      </c>
      <c r="BS25" s="4"/>
      <c r="BT25" s="45">
        <f t="shared" si="4"/>
        <v>0</v>
      </c>
      <c r="BU25" s="7"/>
      <c r="BW25" s="78"/>
      <c r="BX25" s="78"/>
    </row>
    <row r="26" spans="1:76" x14ac:dyDescent="0.3">
      <c r="A26" s="78"/>
      <c r="C26" s="6">
        <v>13</v>
      </c>
      <c r="D26" s="5" t="str">
        <f>IF(VLOOKUP(C26,DSNV!$C$8:$N$48,3,FALSE)=0,"",VLOOKUP(C26,DSNV!$C$8:$N$48,3,FALSE))</f>
        <v>Võ Thị Xuân Nữ</v>
      </c>
      <c r="E26" s="4" t="str">
        <f>IF(VLOOKUP(C26,DSNV!$C$8:$N$48,8,FALSE)="","",VLOOKUP(C26,DSNV!$C$8:$N$48,8,FALSE))</f>
        <v>Thành viên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4">
        <f t="shared" si="2"/>
        <v>0</v>
      </c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4">
        <f t="shared" si="3"/>
        <v>0</v>
      </c>
      <c r="BR26" s="4"/>
      <c r="BS26" s="4"/>
      <c r="BT26" s="45">
        <f t="shared" si="4"/>
        <v>0</v>
      </c>
      <c r="BU26" s="7"/>
      <c r="BW26" s="78"/>
      <c r="BX26" s="78"/>
    </row>
    <row r="27" spans="1:76" x14ac:dyDescent="0.3">
      <c r="A27" s="78"/>
      <c r="C27" s="6">
        <v>14</v>
      </c>
      <c r="D27" s="5" t="str">
        <f>IF(VLOOKUP(C27,DSNV!$C$8:$N$48,3,FALSE)=0,"",VLOOKUP(C27,DSNV!$C$8:$N$48,3,FALSE))</f>
        <v>Đỗ Thị Lan Phương</v>
      </c>
      <c r="E27" s="4" t="str">
        <f>IF(VLOOKUP(C27,DSNV!$C$8:$N$48,8,FALSE)="","",VLOOKUP(C27,DSNV!$C$8:$N$48,8,FALSE))</f>
        <v>Thành viên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4">
        <f t="shared" si="2"/>
        <v>0</v>
      </c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4">
        <f t="shared" si="3"/>
        <v>0</v>
      </c>
      <c r="BR27" s="4"/>
      <c r="BS27" s="4"/>
      <c r="BT27" s="45">
        <f t="shared" si="4"/>
        <v>0</v>
      </c>
      <c r="BU27" s="7"/>
      <c r="BW27" s="78"/>
      <c r="BX27" s="78"/>
    </row>
    <row r="28" spans="1:76" x14ac:dyDescent="0.3">
      <c r="A28" s="78"/>
      <c r="C28" s="6">
        <v>15</v>
      </c>
      <c r="D28" s="5" t="str">
        <f>IF(VLOOKUP(C28,DSNV!$C$8:$N$48,3,FALSE)=0,"",VLOOKUP(C28,DSNV!$C$8:$N$48,3,FALSE))</f>
        <v>Nguyễn Thị Nhã Quyên</v>
      </c>
      <c r="E28" s="4" t="str">
        <f>IF(VLOOKUP(C28,DSNV!$C$8:$N$48,8,FALSE)="","",VLOOKUP(C28,DSNV!$C$8:$N$48,8,FALSE))</f>
        <v>Thành viên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4">
        <f t="shared" si="2"/>
        <v>0</v>
      </c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4">
        <f t="shared" si="3"/>
        <v>0</v>
      </c>
      <c r="BR28" s="4">
        <f t="shared" ref="BR28:BR33" si="6">BQ28/2</f>
        <v>0</v>
      </c>
      <c r="BS28" s="4"/>
      <c r="BT28" s="45">
        <f t="shared" si="4"/>
        <v>0</v>
      </c>
      <c r="BU28" s="7"/>
      <c r="BW28" s="78"/>
      <c r="BX28" s="78"/>
    </row>
    <row r="29" spans="1:76" x14ac:dyDescent="0.3">
      <c r="A29" s="78"/>
      <c r="C29" s="6">
        <v>16</v>
      </c>
      <c r="D29" s="5" t="str">
        <f>IF(VLOOKUP(C29,DSNV!$C$8:$N$48,3,FALSE)=0,"",VLOOKUP(C29,DSNV!$C$8:$N$48,3,FALSE))</f>
        <v>Nguyễn Đức Vĩnh Thắng</v>
      </c>
      <c r="E29" s="4" t="str">
        <f>IF(VLOOKUP(C29,DSNV!$C$8:$N$48,8,FALSE)="","",VLOOKUP(C29,DSNV!$C$8:$N$48,8,FALSE))</f>
        <v>Trưởng ban</v>
      </c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4">
        <f t="shared" si="2"/>
        <v>0</v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4">
        <f t="shared" si="3"/>
        <v>0</v>
      </c>
      <c r="BR29" s="4">
        <f t="shared" si="6"/>
        <v>0</v>
      </c>
      <c r="BS29" s="4"/>
      <c r="BT29" s="45">
        <f t="shared" si="4"/>
        <v>0</v>
      </c>
      <c r="BU29" s="7"/>
      <c r="BW29" s="78"/>
      <c r="BX29" s="78"/>
    </row>
    <row r="30" spans="1:76" x14ac:dyDescent="0.3">
      <c r="A30" s="78"/>
      <c r="C30" s="6">
        <v>17</v>
      </c>
      <c r="D30" s="5" t="str">
        <f>IF(VLOOKUP(C30,DSNV!$C$8:$N$48,3,FALSE)=0,"",VLOOKUP(C30,DSNV!$C$8:$N$48,3,FALSE))</f>
        <v>Nguyễn Thành Tiến</v>
      </c>
      <c r="E30" s="4" t="str">
        <f>IF(VLOOKUP(C30,DSNV!$C$8:$N$48,8,FALSE)="","",VLOOKUP(C30,DSNV!$C$8:$N$48,8,FALSE))</f>
        <v>Thành viên</v>
      </c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4">
        <f t="shared" si="2"/>
        <v>0</v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4">
        <f t="shared" si="3"/>
        <v>0</v>
      </c>
      <c r="BR30" s="4">
        <f t="shared" si="6"/>
        <v>0</v>
      </c>
      <c r="BS30" s="4"/>
      <c r="BT30" s="45">
        <f t="shared" si="4"/>
        <v>0</v>
      </c>
      <c r="BU30" s="7"/>
      <c r="BW30" s="78"/>
      <c r="BX30" s="78"/>
    </row>
    <row r="31" spans="1:76" x14ac:dyDescent="0.3">
      <c r="A31" s="78"/>
      <c r="C31" s="6">
        <v>18</v>
      </c>
      <c r="D31" s="5" t="str">
        <f>IF(VLOOKUP(C31,DSNV!$C$8:$N$48,3,FALSE)=0,"",VLOOKUP(C31,DSNV!$C$8:$N$48,3,FALSE))</f>
        <v>Trần Thị Trúc</v>
      </c>
      <c r="E31" s="4" t="str">
        <f>IF(VLOOKUP(C31,DSNV!$C$8:$N$48,8,FALSE)="","",VLOOKUP(C31,DSNV!$C$8:$N$48,8,FALSE))</f>
        <v>Thành viên</v>
      </c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4">
        <f t="shared" si="2"/>
        <v>0</v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4">
        <f t="shared" si="3"/>
        <v>0</v>
      </c>
      <c r="BR31" s="4">
        <f t="shared" si="6"/>
        <v>0</v>
      </c>
      <c r="BS31" s="4"/>
      <c r="BT31" s="45">
        <f t="shared" si="4"/>
        <v>0</v>
      </c>
      <c r="BU31" s="7"/>
      <c r="BW31" s="78"/>
      <c r="BX31" s="78"/>
    </row>
    <row r="32" spans="1:76" x14ac:dyDescent="0.3">
      <c r="A32" s="78"/>
      <c r="C32" s="6">
        <v>19</v>
      </c>
      <c r="D32" s="5" t="str">
        <f>IF(VLOOKUP(C32,DSNV!$C$8:$N$48,3,FALSE)=0,"",VLOOKUP(C32,DSNV!$C$8:$N$48,3,FALSE))</f>
        <v>Bùi Hoàng Trung</v>
      </c>
      <c r="E32" s="4" t="str">
        <f>IF(VLOOKUP(C32,DSNV!$C$8:$N$48,8,FALSE)="","",VLOOKUP(C32,DSNV!$C$8:$N$48,8,FALSE))</f>
        <v>Thành viên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4">
        <f t="shared" si="2"/>
        <v>0</v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4">
        <f t="shared" si="3"/>
        <v>0</v>
      </c>
      <c r="BR32" s="4">
        <f t="shared" si="6"/>
        <v>0</v>
      </c>
      <c r="BS32" s="4"/>
      <c r="BT32" s="45">
        <f t="shared" si="4"/>
        <v>0</v>
      </c>
      <c r="BU32" s="7"/>
      <c r="BW32" s="78"/>
      <c r="BX32" s="78"/>
    </row>
    <row r="33" spans="1:76" ht="15" thickBot="1" x14ac:dyDescent="0.35">
      <c r="A33" s="78"/>
      <c r="C33" s="6">
        <v>20</v>
      </c>
      <c r="D33" s="5" t="str">
        <f>IF(VLOOKUP(C33,DSNV!$C$8:$N$48,3,FALSE)=0,"",VLOOKUP(C33,DSNV!$C$8:$N$48,3,FALSE))</f>
        <v>Ngô Trúc Tường Vy</v>
      </c>
      <c r="E33" s="4" t="str">
        <f>IF(VLOOKUP(C33,DSNV!$C$8:$N$48,8,FALSE)="","",VLOOKUP(C33,DSNV!$C$8:$N$48,8,FALSE))</f>
        <v>Trưởng ban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4">
        <f t="shared" si="2"/>
        <v>0</v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4">
        <f t="shared" si="3"/>
        <v>0</v>
      </c>
      <c r="BR33" s="4">
        <f t="shared" si="6"/>
        <v>0</v>
      </c>
      <c r="BS33" s="4"/>
      <c r="BT33" s="45">
        <f t="shared" si="4"/>
        <v>0</v>
      </c>
      <c r="BU33" s="7"/>
      <c r="BW33" s="78"/>
      <c r="BX33" s="78"/>
    </row>
    <row r="34" spans="1:76" ht="15" hidden="1" thickBot="1" x14ac:dyDescent="0.35">
      <c r="A34" s="78"/>
      <c r="C34" s="6">
        <v>21</v>
      </c>
      <c r="D34" s="5" t="str">
        <f>IF(VLOOKUP(C34,DSNV!$C$8:$N$48,3,FALSE)=0,"",VLOOKUP(C34,DSNV!$C$8:$N$48,3,FALSE))</f>
        <v/>
      </c>
      <c r="E34" s="4" t="str">
        <f>IF(VLOOKUP(C34,DSNV!$C$8:$N$48,8,FALSE)="","",VLOOKUP(C34,DSNV!$C$8:$N$48,8,FALSE))</f>
        <v/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4">
        <f t="shared" si="2"/>
        <v>0</v>
      </c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4">
        <f t="shared" si="3"/>
        <v>0</v>
      </c>
      <c r="BR34" s="4"/>
      <c r="BS34" s="4"/>
      <c r="BT34" s="45">
        <f t="shared" si="4"/>
        <v>0</v>
      </c>
      <c r="BU34" s="7"/>
      <c r="BW34" s="78"/>
      <c r="BX34" s="78"/>
    </row>
    <row r="35" spans="1:76" ht="15" hidden="1" thickBot="1" x14ac:dyDescent="0.35">
      <c r="A35" s="78"/>
      <c r="C35" s="6">
        <v>22</v>
      </c>
      <c r="D35" s="5" t="str">
        <f>IF(VLOOKUP(C35,DSNV!$C$8:$N$48,3,FALSE)=0,"",VLOOKUP(C35,DSNV!$C$8:$N$48,3,FALSE))</f>
        <v/>
      </c>
      <c r="E35" s="4" t="str">
        <f>IF(VLOOKUP(C35,DSNV!$C$8:$N$48,8,FALSE)="","",VLOOKUP(C35,DSNV!$C$8:$N$48,8,FALSE))</f>
        <v/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4">
        <f t="shared" si="2"/>
        <v>0</v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4">
        <f t="shared" si="3"/>
        <v>0</v>
      </c>
      <c r="BR35" s="4"/>
      <c r="BS35" s="4"/>
      <c r="BT35" s="45">
        <f t="shared" si="4"/>
        <v>0</v>
      </c>
      <c r="BU35" s="7"/>
      <c r="BW35" s="78"/>
      <c r="BX35" s="78"/>
    </row>
    <row r="36" spans="1:76" ht="15" hidden="1" thickBot="1" x14ac:dyDescent="0.35">
      <c r="A36" s="78"/>
      <c r="C36" s="6">
        <v>23</v>
      </c>
      <c r="D36" s="5" t="str">
        <f>IF(VLOOKUP(C36,DSNV!$C$8:$N$48,3,FALSE)=0,"",VLOOKUP(C36,DSNV!$C$8:$N$48,3,FALSE))</f>
        <v/>
      </c>
      <c r="E36" s="4" t="str">
        <f>IF(VLOOKUP(C36,DSNV!$C$8:$N$48,8,FALSE)="","",VLOOKUP(C36,DSNV!$C$8:$N$48,8,FALSE))</f>
        <v/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4">
        <f t="shared" si="2"/>
        <v>0</v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4">
        <f t="shared" si="3"/>
        <v>0</v>
      </c>
      <c r="BR36" s="4"/>
      <c r="BS36" s="4"/>
      <c r="BT36" s="45">
        <f t="shared" si="4"/>
        <v>0</v>
      </c>
      <c r="BU36" s="7"/>
      <c r="BW36" s="78"/>
      <c r="BX36" s="78"/>
    </row>
    <row r="37" spans="1:76" ht="15" hidden="1" thickBot="1" x14ac:dyDescent="0.35">
      <c r="A37" s="78"/>
      <c r="C37" s="6">
        <v>24</v>
      </c>
      <c r="D37" s="5" t="str">
        <f>IF(VLOOKUP(C37,DSNV!$C$8:$N$48,3,FALSE)=0,"",VLOOKUP(C37,DSNV!$C$8:$N$48,3,FALSE))</f>
        <v/>
      </c>
      <c r="E37" s="4" t="str">
        <f>IF(VLOOKUP(C37,DSNV!$C$8:$N$48,8,FALSE)="","",VLOOKUP(C37,DSNV!$C$8:$N$48,8,FALSE))</f>
        <v/>
      </c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4">
        <f t="shared" si="2"/>
        <v>0</v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4">
        <f t="shared" si="3"/>
        <v>0</v>
      </c>
      <c r="BR37" s="4"/>
      <c r="BS37" s="4"/>
      <c r="BT37" s="45">
        <f t="shared" si="4"/>
        <v>0</v>
      </c>
      <c r="BU37" s="7"/>
      <c r="BW37" s="78"/>
      <c r="BX37" s="78"/>
    </row>
    <row r="38" spans="1:76" ht="15" hidden="1" thickBot="1" x14ac:dyDescent="0.35">
      <c r="A38" s="78"/>
      <c r="C38" s="6">
        <v>25</v>
      </c>
      <c r="D38" s="5" t="str">
        <f>IF(VLOOKUP(C38,DSNV!$C$8:$N$48,3,FALSE)=0,"",VLOOKUP(C38,DSNV!$C$8:$N$48,3,FALSE))</f>
        <v/>
      </c>
      <c r="E38" s="4" t="str">
        <f>IF(VLOOKUP(C38,DSNV!$C$8:$N$48,8,FALSE)="","",VLOOKUP(C38,DSNV!$C$8:$N$48,8,FALSE))</f>
        <v/>
      </c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4">
        <f t="shared" si="2"/>
        <v>0</v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4">
        <f t="shared" si="3"/>
        <v>0</v>
      </c>
      <c r="BR38" s="4"/>
      <c r="BS38" s="4"/>
      <c r="BT38" s="45">
        <f t="shared" si="4"/>
        <v>0</v>
      </c>
      <c r="BU38" s="7"/>
      <c r="BW38" s="78"/>
      <c r="BX38" s="78"/>
    </row>
    <row r="39" spans="1:76" ht="15" hidden="1" thickBot="1" x14ac:dyDescent="0.35">
      <c r="A39" s="78"/>
      <c r="C39" s="6">
        <v>26</v>
      </c>
      <c r="D39" s="5" t="str">
        <f>IF(VLOOKUP(C39,DSNV!$C$8:$N$48,3,FALSE)=0,"",VLOOKUP(C39,DSNV!$C$8:$N$48,3,FALSE))</f>
        <v/>
      </c>
      <c r="E39" s="4" t="str">
        <f>IF(VLOOKUP(C39,DSNV!$C$8:$N$48,8,FALSE)="","",VLOOKUP(C39,DSNV!$C$8:$N$48,8,FALSE))</f>
        <v/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4">
        <f t="shared" si="2"/>
        <v>0</v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4">
        <f t="shared" si="3"/>
        <v>0</v>
      </c>
      <c r="BR39" s="4"/>
      <c r="BS39" s="4"/>
      <c r="BT39" s="45">
        <f t="shared" si="4"/>
        <v>0</v>
      </c>
      <c r="BU39" s="7"/>
      <c r="BW39" s="78"/>
      <c r="BX39" s="78"/>
    </row>
    <row r="40" spans="1:76" ht="15" hidden="1" thickBot="1" x14ac:dyDescent="0.35">
      <c r="A40" s="78"/>
      <c r="C40" s="6">
        <v>27</v>
      </c>
      <c r="D40" s="5" t="str">
        <f>IF(VLOOKUP(C40,DSNV!$C$8:$N$48,3,FALSE)=0,"",VLOOKUP(C40,DSNV!$C$8:$N$48,3,FALSE))</f>
        <v/>
      </c>
      <c r="E40" s="4" t="str">
        <f>IF(VLOOKUP(C40,DSNV!$C$8:$N$48,8,FALSE)="","",VLOOKUP(C40,DSNV!$C$8:$N$48,8,FALSE))</f>
        <v/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4">
        <f t="shared" si="2"/>
        <v>0</v>
      </c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4">
        <f t="shared" si="3"/>
        <v>0</v>
      </c>
      <c r="BR40" s="4"/>
      <c r="BS40" s="4"/>
      <c r="BT40" s="45">
        <f t="shared" si="4"/>
        <v>0</v>
      </c>
      <c r="BU40" s="7"/>
      <c r="BW40" s="78"/>
      <c r="BX40" s="78"/>
    </row>
    <row r="41" spans="1:76" ht="15" hidden="1" thickBot="1" x14ac:dyDescent="0.35">
      <c r="A41" s="78"/>
      <c r="C41" s="6">
        <v>28</v>
      </c>
      <c r="D41" s="5" t="str">
        <f>IF(VLOOKUP(C41,DSNV!$C$8:$N$48,3,FALSE)=0,"",VLOOKUP(C41,DSNV!$C$8:$N$48,3,FALSE))</f>
        <v/>
      </c>
      <c r="E41" s="4" t="str">
        <f>IF(VLOOKUP(C41,DSNV!$C$8:$N$48,8,FALSE)="","",VLOOKUP(C41,DSNV!$C$8:$N$48,8,FALSE))</f>
        <v/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4">
        <f t="shared" si="2"/>
        <v>0</v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4">
        <f t="shared" si="3"/>
        <v>0</v>
      </c>
      <c r="BR41" s="4"/>
      <c r="BS41" s="4"/>
      <c r="BT41" s="45">
        <f t="shared" si="4"/>
        <v>0</v>
      </c>
      <c r="BU41" s="7"/>
      <c r="BW41" s="78"/>
      <c r="BX41" s="78"/>
    </row>
    <row r="42" spans="1:76" ht="15" hidden="1" thickBot="1" x14ac:dyDescent="0.35">
      <c r="A42" s="78"/>
      <c r="C42" s="6">
        <v>29</v>
      </c>
      <c r="D42" s="5" t="str">
        <f>IF(VLOOKUP(C42,DSNV!$C$8:$N$48,3,FALSE)=0,"",VLOOKUP(C42,DSNV!$C$8:$N$48,3,FALSE))</f>
        <v/>
      </c>
      <c r="E42" s="4" t="str">
        <f>IF(VLOOKUP(C42,DSNV!$C$8:$N$48,8,FALSE)="","",VLOOKUP(C42,DSNV!$C$8:$N$48,8,FALSE))</f>
        <v/>
      </c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4">
        <f t="shared" si="2"/>
        <v>0</v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4">
        <f t="shared" si="3"/>
        <v>0</v>
      </c>
      <c r="BR42" s="4"/>
      <c r="BS42" s="4"/>
      <c r="BT42" s="45">
        <f t="shared" si="4"/>
        <v>0</v>
      </c>
      <c r="BU42" s="7"/>
      <c r="BW42" s="78"/>
      <c r="BX42" s="78"/>
    </row>
    <row r="43" spans="1:76" ht="15" hidden="1" thickBot="1" x14ac:dyDescent="0.35">
      <c r="A43" s="78"/>
      <c r="C43" s="6">
        <v>30</v>
      </c>
      <c r="D43" s="5" t="str">
        <f>IF(VLOOKUP(C43,DSNV!$C$8:$N$48,3,FALSE)=0,"",VLOOKUP(C43,DSNV!$C$8:$N$48,3,FALSE))</f>
        <v/>
      </c>
      <c r="E43" s="4" t="str">
        <f>IF(VLOOKUP(C43,DSNV!$C$8:$N$48,8,FALSE)="","",VLOOKUP(C43,DSNV!$C$8:$N$48,8,FALSE))</f>
        <v/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4">
        <f t="shared" si="2"/>
        <v>0</v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4">
        <f t="shared" si="3"/>
        <v>0</v>
      </c>
      <c r="BR43" s="4"/>
      <c r="BS43" s="4"/>
      <c r="BT43" s="45">
        <f t="shared" si="4"/>
        <v>0</v>
      </c>
      <c r="BU43" s="7"/>
      <c r="BW43" s="78"/>
      <c r="BX43" s="78"/>
    </row>
    <row r="44" spans="1:76" ht="15" hidden="1" thickBot="1" x14ac:dyDescent="0.35">
      <c r="A44" s="78"/>
      <c r="C44" s="6">
        <v>31</v>
      </c>
      <c r="D44" s="5" t="str">
        <f>IF(VLOOKUP(C44,DSNV!$C$8:$N$48,3,FALSE)=0,"",VLOOKUP(C44,DSNV!$C$8:$N$48,3,FALSE))</f>
        <v/>
      </c>
      <c r="E44" s="4" t="str">
        <f>IF(VLOOKUP(C44,DSNV!$C$8:$N$48,8,FALSE)="","",VLOOKUP(C44,DSNV!$C$8:$N$48,8,FALSE))</f>
        <v/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4">
        <f t="shared" si="2"/>
        <v>0</v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4">
        <f t="shared" si="3"/>
        <v>0</v>
      </c>
      <c r="BR44" s="4"/>
      <c r="BS44" s="4"/>
      <c r="BT44" s="45">
        <f t="shared" si="4"/>
        <v>0</v>
      </c>
      <c r="BU44" s="7"/>
      <c r="BW44" s="78"/>
      <c r="BX44" s="78"/>
    </row>
    <row r="45" spans="1:76" ht="15" hidden="1" thickBot="1" x14ac:dyDescent="0.35">
      <c r="A45" s="78"/>
      <c r="C45" s="6">
        <v>32</v>
      </c>
      <c r="D45" s="5" t="str">
        <f>IF(VLOOKUP(C45,DSNV!$C$8:$N$48,3,FALSE)=0,"",VLOOKUP(C45,DSNV!$C$8:$N$48,3,FALSE))</f>
        <v/>
      </c>
      <c r="E45" s="4" t="str">
        <f>IF(VLOOKUP(C45,DSNV!$C$8:$N$48,8,FALSE)="","",VLOOKUP(C45,DSNV!$C$8:$N$48,8,FALSE))</f>
        <v/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4">
        <f t="shared" si="2"/>
        <v>0</v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4">
        <f t="shared" si="3"/>
        <v>0</v>
      </c>
      <c r="BR45" s="4"/>
      <c r="BS45" s="4"/>
      <c r="BT45" s="45">
        <f t="shared" si="4"/>
        <v>0</v>
      </c>
      <c r="BU45" s="7"/>
      <c r="BW45" s="78"/>
      <c r="BX45" s="78"/>
    </row>
    <row r="46" spans="1:76" ht="15" hidden="1" thickBot="1" x14ac:dyDescent="0.35">
      <c r="A46" s="78"/>
      <c r="C46" s="6">
        <v>33</v>
      </c>
      <c r="D46" s="5" t="str">
        <f>IF(VLOOKUP(C46,DSNV!$C$8:$N$48,3,FALSE)=0,"",VLOOKUP(C46,DSNV!$C$8:$N$48,3,FALSE))</f>
        <v/>
      </c>
      <c r="E46" s="4" t="str">
        <f>IF(VLOOKUP(C46,DSNV!$C$8:$N$48,8,FALSE)="","",VLOOKUP(C46,DSNV!$C$8:$N$48,8,FALSE))</f>
        <v/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4">
        <f t="shared" si="2"/>
        <v>0</v>
      </c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4">
        <f t="shared" si="3"/>
        <v>0</v>
      </c>
      <c r="BR46" s="4"/>
      <c r="BS46" s="4"/>
      <c r="BT46" s="45">
        <f t="shared" si="4"/>
        <v>0</v>
      </c>
      <c r="BU46" s="7"/>
      <c r="BW46" s="78"/>
      <c r="BX46" s="78"/>
    </row>
    <row r="47" spans="1:76" ht="15" hidden="1" thickBot="1" x14ac:dyDescent="0.35">
      <c r="A47" s="78"/>
      <c r="C47" s="6">
        <v>34</v>
      </c>
      <c r="D47" s="5" t="str">
        <f>IF(VLOOKUP(C47,DSNV!$C$8:$N$48,3,FALSE)=0,"",VLOOKUP(C47,DSNV!$C$8:$N$48,3,FALSE))</f>
        <v/>
      </c>
      <c r="E47" s="4" t="str">
        <f>IF(VLOOKUP(C47,DSNV!$C$8:$N$48,8,FALSE)="","",VLOOKUP(C47,DSNV!$C$8:$N$48,8,FALSE))</f>
        <v/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4">
        <f t="shared" si="2"/>
        <v>0</v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4">
        <f t="shared" si="3"/>
        <v>0</v>
      </c>
      <c r="BR47" s="4"/>
      <c r="BS47" s="4"/>
      <c r="BT47" s="45">
        <f t="shared" si="4"/>
        <v>0</v>
      </c>
      <c r="BU47" s="7"/>
      <c r="BW47" s="78"/>
      <c r="BX47" s="78"/>
    </row>
    <row r="48" spans="1:76" ht="15" hidden="1" thickBot="1" x14ac:dyDescent="0.35">
      <c r="A48" s="78"/>
      <c r="C48" s="6">
        <v>35</v>
      </c>
      <c r="D48" s="5" t="str">
        <f>IF(VLOOKUP(C48,DSNV!$C$8:$N$48,3,FALSE)=0,"",VLOOKUP(C48,DSNV!$C$8:$N$48,3,FALSE))</f>
        <v/>
      </c>
      <c r="E48" s="4" t="str">
        <f>IF(VLOOKUP(C48,DSNV!$C$8:$N$48,8,FALSE)="","",VLOOKUP(C48,DSNV!$C$8:$N$48,8,FALSE))</f>
        <v/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4">
        <f t="shared" si="2"/>
        <v>0</v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4">
        <f t="shared" si="3"/>
        <v>0</v>
      </c>
      <c r="BR48" s="4"/>
      <c r="BS48" s="4"/>
      <c r="BT48" s="45">
        <f t="shared" si="4"/>
        <v>0</v>
      </c>
      <c r="BU48" s="7"/>
      <c r="BW48" s="78"/>
      <c r="BX48" s="78"/>
    </row>
    <row r="49" spans="1:76" ht="15" hidden="1" thickBot="1" x14ac:dyDescent="0.35">
      <c r="A49" s="78"/>
      <c r="C49" s="6">
        <v>36</v>
      </c>
      <c r="D49" s="5" t="str">
        <f>IF(VLOOKUP(C49,DSNV!$C$8:$N$48,3,FALSE)=0,"",VLOOKUP(C49,DSNV!$C$8:$N$48,3,FALSE))</f>
        <v/>
      </c>
      <c r="E49" s="4" t="str">
        <f>IF(VLOOKUP(C49,DSNV!$C$8:$N$48,8,FALSE)="","",VLOOKUP(C49,DSNV!$C$8:$N$48,8,FALSE))</f>
        <v/>
      </c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4">
        <f t="shared" si="2"/>
        <v>0</v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4">
        <f t="shared" si="3"/>
        <v>0</v>
      </c>
      <c r="BR49" s="4"/>
      <c r="BS49" s="4"/>
      <c r="BT49" s="45">
        <f t="shared" si="4"/>
        <v>0</v>
      </c>
      <c r="BU49" s="7"/>
      <c r="BW49" s="78"/>
      <c r="BX49" s="78"/>
    </row>
    <row r="50" spans="1:76" ht="15" hidden="1" thickBot="1" x14ac:dyDescent="0.35">
      <c r="A50" s="78"/>
      <c r="C50" s="6">
        <v>37</v>
      </c>
      <c r="D50" s="5" t="str">
        <f>IF(VLOOKUP(C50,DSNV!$C$8:$N$48,3,FALSE)=0,"",VLOOKUP(C50,DSNV!$C$8:$N$48,3,FALSE))</f>
        <v/>
      </c>
      <c r="E50" s="4" t="str">
        <f>IF(VLOOKUP(C50,DSNV!$C$8:$N$48,8,FALSE)="","",VLOOKUP(C50,DSNV!$C$8:$N$48,8,FALSE))</f>
        <v/>
      </c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4">
        <f t="shared" si="2"/>
        <v>0</v>
      </c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4">
        <f t="shared" si="3"/>
        <v>0</v>
      </c>
      <c r="BR50" s="4"/>
      <c r="BS50" s="4"/>
      <c r="BT50" s="45">
        <f t="shared" si="4"/>
        <v>0</v>
      </c>
      <c r="BU50" s="7"/>
      <c r="BW50" s="78"/>
      <c r="BX50" s="78"/>
    </row>
    <row r="51" spans="1:76" ht="15" hidden="1" thickBot="1" x14ac:dyDescent="0.35">
      <c r="A51" s="78"/>
      <c r="C51" s="6">
        <v>38</v>
      </c>
      <c r="D51" s="5" t="str">
        <f>IF(VLOOKUP(C51,DSNV!$C$8:$N$48,3,FALSE)=0,"",VLOOKUP(C51,DSNV!$C$8:$N$48,3,FALSE))</f>
        <v/>
      </c>
      <c r="E51" s="4" t="str">
        <f>IF(VLOOKUP(C51,DSNV!$C$8:$N$48,8,FALSE)="","",VLOOKUP(C51,DSNV!$C$8:$N$48,8,FALSE))</f>
        <v/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4">
        <f t="shared" si="2"/>
        <v>0</v>
      </c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4">
        <f t="shared" si="3"/>
        <v>0</v>
      </c>
      <c r="BR51" s="4"/>
      <c r="BS51" s="4"/>
      <c r="BT51" s="45">
        <f t="shared" si="4"/>
        <v>0</v>
      </c>
      <c r="BU51" s="7"/>
      <c r="BW51" s="78"/>
      <c r="BX51" s="78"/>
    </row>
    <row r="52" spans="1:76" ht="15" hidden="1" thickBot="1" x14ac:dyDescent="0.35">
      <c r="A52" s="78"/>
      <c r="C52" s="6">
        <v>39</v>
      </c>
      <c r="D52" s="5" t="str">
        <f>IF(VLOOKUP(C52,DSNV!$C$8:$N$48,3,FALSE)=0,"",VLOOKUP(C52,DSNV!$C$8:$N$48,3,FALSE))</f>
        <v/>
      </c>
      <c r="E52" s="4" t="str">
        <f>IF(VLOOKUP(C52,DSNV!$C$8:$N$48,8,FALSE)="","",VLOOKUP(C52,DSNV!$C$8:$N$48,8,FALSE))</f>
        <v/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4">
        <f t="shared" si="2"/>
        <v>0</v>
      </c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4">
        <f t="shared" si="3"/>
        <v>0</v>
      </c>
      <c r="BR52" s="4"/>
      <c r="BS52" s="4"/>
      <c r="BT52" s="45">
        <f t="shared" si="4"/>
        <v>0</v>
      </c>
      <c r="BU52" s="7"/>
      <c r="BW52" s="78"/>
      <c r="BX52" s="78"/>
    </row>
    <row r="53" spans="1:76" ht="15" hidden="1" thickBot="1" x14ac:dyDescent="0.35">
      <c r="A53" s="78"/>
      <c r="C53" s="14">
        <v>40</v>
      </c>
      <c r="D53" s="5" t="str">
        <f>IF(VLOOKUP(C53,DSNV!$C$8:$N$48,3,FALSE)=0,"",VLOOKUP(C53,DSNV!$C$8:$N$48,3,FALSE))</f>
        <v/>
      </c>
      <c r="E53" s="4" t="str">
        <f>IF(VLOOKUP(C53,DSNV!$C$8:$N$48,8,FALSE)="","",VLOOKUP(C53,DSNV!$C$8:$N$48,8,FALSE))</f>
        <v/>
      </c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4">
        <f t="shared" si="2"/>
        <v>0</v>
      </c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4">
        <f t="shared" si="3"/>
        <v>0</v>
      </c>
      <c r="BR53" s="4"/>
      <c r="BS53" s="4"/>
      <c r="BT53" s="45">
        <f t="shared" si="4"/>
        <v>0</v>
      </c>
      <c r="BU53" s="15"/>
      <c r="BW53" s="78"/>
      <c r="BX53" s="78"/>
    </row>
    <row r="54" spans="1:76" ht="15" thickBot="1" x14ac:dyDescent="0.35">
      <c r="A54" s="78"/>
      <c r="C54" s="121" t="s">
        <v>53</v>
      </c>
      <c r="D54" s="121"/>
      <c r="E54" s="121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37">
        <f>SUM(AK14:AK53)</f>
        <v>0</v>
      </c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37">
        <f>SUM(BQ14:BQ53)</f>
        <v>0</v>
      </c>
      <c r="BR54" s="37">
        <f t="shared" ref="BR54:BS54" si="7">SUM(BR14:BR53)</f>
        <v>0</v>
      </c>
      <c r="BS54" s="37">
        <f t="shared" si="7"/>
        <v>0</v>
      </c>
      <c r="BT54" s="37">
        <f>SUM(BT14:BT53)</f>
        <v>0</v>
      </c>
      <c r="BU54" s="17"/>
      <c r="BW54" s="78"/>
      <c r="BX54" s="78"/>
    </row>
    <row r="55" spans="1:76" x14ac:dyDescent="0.3">
      <c r="A55" s="78"/>
      <c r="BW55" s="78"/>
      <c r="BX55" s="78"/>
    </row>
    <row r="56" spans="1:76" x14ac:dyDescent="0.3">
      <c r="A56" s="78"/>
      <c r="BW56" s="78"/>
      <c r="BX56" s="78"/>
    </row>
    <row r="57" spans="1:76" x14ac:dyDescent="0.3">
      <c r="A57" s="78"/>
      <c r="B57" s="78"/>
      <c r="C57" s="77"/>
      <c r="D57" s="78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  <c r="AW57" s="77"/>
      <c r="AX57" s="77"/>
      <c r="AY57" s="77"/>
      <c r="AZ57" s="77"/>
      <c r="BA57" s="77"/>
      <c r="BB57" s="77"/>
      <c r="BC57" s="77"/>
      <c r="BD57" s="77"/>
      <c r="BE57" s="77"/>
      <c r="BF57" s="77"/>
      <c r="BG57" s="77"/>
      <c r="BH57" s="77"/>
      <c r="BI57" s="77"/>
      <c r="BJ57" s="77"/>
      <c r="BK57" s="77"/>
      <c r="BL57" s="77"/>
      <c r="BM57" s="77"/>
      <c r="BN57" s="77"/>
      <c r="BO57" s="77"/>
      <c r="BP57" s="77"/>
      <c r="BQ57" s="77"/>
      <c r="BR57" s="77"/>
      <c r="BS57" s="77"/>
      <c r="BT57" s="77"/>
      <c r="BU57" s="78"/>
      <c r="BV57" s="78"/>
      <c r="BW57" s="78"/>
      <c r="BX57" s="78"/>
    </row>
    <row r="58" spans="1:76" x14ac:dyDescent="0.3">
      <c r="A58" s="78"/>
      <c r="B58" s="78"/>
      <c r="C58" s="77"/>
      <c r="D58" s="78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7"/>
      <c r="AL58" s="77"/>
      <c r="AM58" s="77"/>
      <c r="AN58" s="77"/>
      <c r="AO58" s="77"/>
      <c r="AP58" s="77"/>
      <c r="AQ58" s="77"/>
      <c r="AR58" s="77"/>
      <c r="AS58" s="77"/>
      <c r="AT58" s="77"/>
      <c r="AU58" s="77"/>
      <c r="AV58" s="77"/>
      <c r="AW58" s="77"/>
      <c r="AX58" s="77"/>
      <c r="AY58" s="77"/>
      <c r="AZ58" s="77"/>
      <c r="BA58" s="77"/>
      <c r="BB58" s="77"/>
      <c r="BC58" s="77"/>
      <c r="BD58" s="77"/>
      <c r="BE58" s="77"/>
      <c r="BF58" s="77"/>
      <c r="BG58" s="77"/>
      <c r="BH58" s="77"/>
      <c r="BI58" s="77"/>
      <c r="BJ58" s="77"/>
      <c r="BK58" s="77"/>
      <c r="BL58" s="77"/>
      <c r="BM58" s="77"/>
      <c r="BN58" s="77"/>
      <c r="BO58" s="77"/>
      <c r="BP58" s="77"/>
      <c r="BQ58" s="77"/>
      <c r="BR58" s="77"/>
      <c r="BS58" s="77"/>
      <c r="BT58" s="77"/>
      <c r="BU58" s="78"/>
      <c r="BV58" s="78"/>
      <c r="BW58" s="78"/>
      <c r="BX58" s="78"/>
    </row>
    <row r="59" spans="1:76" x14ac:dyDescent="0.3">
      <c r="A59" s="78"/>
      <c r="B59" s="78"/>
      <c r="C59" s="77"/>
      <c r="D59" s="78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  <c r="AI59" s="77"/>
      <c r="AJ59" s="77"/>
      <c r="AK59" s="77"/>
      <c r="AL59" s="77"/>
      <c r="AM59" s="77"/>
      <c r="AN59" s="77"/>
      <c r="AO59" s="77"/>
      <c r="AP59" s="77"/>
      <c r="AQ59" s="77"/>
      <c r="AR59" s="77"/>
      <c r="AS59" s="77"/>
      <c r="AT59" s="77"/>
      <c r="AU59" s="77"/>
      <c r="AV59" s="77"/>
      <c r="AW59" s="77"/>
      <c r="AX59" s="77"/>
      <c r="AY59" s="77"/>
      <c r="AZ59" s="77"/>
      <c r="BA59" s="77"/>
      <c r="BB59" s="77"/>
      <c r="BC59" s="77"/>
      <c r="BD59" s="77"/>
      <c r="BE59" s="77"/>
      <c r="BF59" s="77"/>
      <c r="BG59" s="77"/>
      <c r="BH59" s="77"/>
      <c r="BI59" s="77"/>
      <c r="BJ59" s="77"/>
      <c r="BK59" s="77"/>
      <c r="BL59" s="77"/>
      <c r="BM59" s="77"/>
      <c r="BN59" s="77"/>
      <c r="BO59" s="77"/>
      <c r="BP59" s="77"/>
      <c r="BQ59" s="77"/>
      <c r="BR59" s="77"/>
      <c r="BS59" s="77"/>
      <c r="BT59" s="77"/>
      <c r="BU59" s="78"/>
      <c r="BV59" s="78"/>
      <c r="BW59" s="78"/>
      <c r="BX59" s="78"/>
    </row>
  </sheetData>
  <autoFilter ref="C11:BU54" xr:uid="{5B728C7B-9475-4B02-8B4D-6C91ABA364A6}"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</autoFilter>
  <mergeCells count="12">
    <mergeCell ref="BQ11:BQ13"/>
    <mergeCell ref="BT11:BT13"/>
    <mergeCell ref="BU11:BU13"/>
    <mergeCell ref="C54:E54"/>
    <mergeCell ref="BR11:BR13"/>
    <mergeCell ref="BS11:BS13"/>
    <mergeCell ref="C11:C13"/>
    <mergeCell ref="D11:D13"/>
    <mergeCell ref="E11:E13"/>
    <mergeCell ref="F11:AJ11"/>
    <mergeCell ref="AK11:AK13"/>
    <mergeCell ref="AL11:BP11"/>
  </mergeCells>
  <conditionalFormatting sqref="F12:AJ54 AL12:BP54">
    <cfRule type="expression" dxfId="14" priority="3">
      <formula>OR(WEEKDAY($D$1+F$12)=1,WEEKDAY($D$1+F$12)=7)</formula>
    </cfRule>
  </conditionalFormatting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93C75-6071-4682-BB2E-77F500742529}">
  <sheetPr codeName="Sheet15"/>
  <dimension ref="A1:BY59"/>
  <sheetViews>
    <sheetView showGridLines="0" showRowColHeaders="0" workbookViewId="0">
      <pane xSplit="5" ySplit="13" topLeftCell="F14" activePane="bottomRight" state="frozen"/>
      <selection pane="topRight" activeCell="F1" sqref="F1"/>
      <selection pane="bottomLeft" activeCell="A14" sqref="A14"/>
      <selection pane="bottomRight"/>
    </sheetView>
  </sheetViews>
  <sheetFormatPr defaultColWidth="0" defaultRowHeight="14.4" zeroHeight="1" x14ac:dyDescent="0.3"/>
  <cols>
    <col min="1" max="1" width="8.88671875" style="2" customWidth="1"/>
    <col min="2" max="2" width="3.33203125" style="2" customWidth="1"/>
    <col min="3" max="3" width="5.21875" style="3" customWidth="1"/>
    <col min="4" max="4" width="23" style="2" bestFit="1" customWidth="1"/>
    <col min="5" max="5" width="12" style="3" customWidth="1"/>
    <col min="6" max="36" width="3.44140625" style="3" bestFit="1" customWidth="1"/>
    <col min="37" max="37" width="6.77734375" style="3" customWidth="1"/>
    <col min="38" max="68" width="3.44140625" style="3" bestFit="1" customWidth="1"/>
    <col min="69" max="72" width="6.77734375" style="3" customWidth="1"/>
    <col min="73" max="73" width="9.88671875" style="2" customWidth="1"/>
    <col min="74" max="74" width="3.33203125" style="2" customWidth="1"/>
    <col min="75" max="75" width="8.88671875" style="2" customWidth="1"/>
    <col min="76" max="76" width="8.88671875" style="2" hidden="1" customWidth="1"/>
    <col min="77" max="77" width="0" style="2" hidden="1" customWidth="1"/>
    <col min="78" max="16384" width="8.88671875" style="2" hidden="1"/>
  </cols>
  <sheetData>
    <row r="1" spans="1:77" s="104" customFormat="1" x14ac:dyDescent="0.3">
      <c r="C1" s="105"/>
      <c r="D1" s="106">
        <f>D2-1</f>
        <v>44500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</row>
    <row r="2" spans="1:77" s="104" customFormat="1" x14ac:dyDescent="0.3">
      <c r="C2" s="105"/>
      <c r="D2" s="107" t="str">
        <f>"01/11/"&amp;E9</f>
        <v>01/11/2021</v>
      </c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105"/>
      <c r="BP2" s="105"/>
      <c r="BQ2" s="105"/>
      <c r="BR2" s="105"/>
      <c r="BS2" s="105"/>
      <c r="BT2" s="105"/>
    </row>
    <row r="3" spans="1:77" s="110" customFormat="1" x14ac:dyDescent="0.3">
      <c r="C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1"/>
      <c r="AU3" s="111"/>
      <c r="AV3" s="111"/>
      <c r="AW3" s="111"/>
      <c r="AX3" s="111"/>
      <c r="AY3" s="111"/>
      <c r="AZ3" s="111"/>
      <c r="BA3" s="111"/>
      <c r="BB3" s="111"/>
      <c r="BC3" s="111"/>
      <c r="BD3" s="111"/>
      <c r="BE3" s="111"/>
      <c r="BF3" s="111"/>
      <c r="BG3" s="111"/>
      <c r="BH3" s="111"/>
      <c r="BI3" s="111"/>
      <c r="BJ3" s="111"/>
      <c r="BK3" s="111"/>
      <c r="BL3" s="111"/>
      <c r="BM3" s="111"/>
      <c r="BN3" s="111"/>
      <c r="BO3" s="111"/>
      <c r="BP3" s="111"/>
      <c r="BQ3" s="111"/>
      <c r="BR3" s="111"/>
      <c r="BS3" s="111"/>
      <c r="BT3" s="111"/>
    </row>
    <row r="4" spans="1:77" x14ac:dyDescent="0.3">
      <c r="A4" s="78"/>
      <c r="B4" s="78"/>
      <c r="C4" s="77"/>
      <c r="D4" s="79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  <c r="BC4" s="77"/>
      <c r="BD4" s="77"/>
      <c r="BE4" s="77"/>
      <c r="BF4" s="77"/>
      <c r="BG4" s="77"/>
      <c r="BH4" s="77"/>
      <c r="BI4" s="77"/>
      <c r="BJ4" s="77"/>
      <c r="BK4" s="77"/>
      <c r="BL4" s="77"/>
      <c r="BM4" s="77"/>
      <c r="BN4" s="77"/>
      <c r="BO4" s="77"/>
      <c r="BP4" s="77"/>
      <c r="BQ4" s="77"/>
      <c r="BR4" s="77"/>
      <c r="BS4" s="77"/>
      <c r="BT4" s="77"/>
      <c r="BU4" s="78"/>
      <c r="BV4" s="78"/>
      <c r="BW4" s="78"/>
      <c r="BX4" s="78"/>
      <c r="BY4" s="78"/>
    </row>
    <row r="5" spans="1:77" x14ac:dyDescent="0.3">
      <c r="A5" s="78"/>
      <c r="BW5" s="78"/>
      <c r="BX5" s="78"/>
    </row>
    <row r="6" spans="1:77" x14ac:dyDescent="0.3">
      <c r="A6" s="78"/>
      <c r="D6" s="41" t="s">
        <v>49</v>
      </c>
      <c r="E6" s="42">
        <f>COUNTIFS(F13:AJ13,"&gt;1",F13:AJ13,"&lt;7")</f>
        <v>22</v>
      </c>
      <c r="BW6" s="78"/>
      <c r="BX6" s="78"/>
    </row>
    <row r="7" spans="1:77" x14ac:dyDescent="0.3">
      <c r="A7" s="78"/>
      <c r="C7" s="1"/>
      <c r="D7" s="1"/>
      <c r="BW7" s="78"/>
      <c r="BX7" s="78"/>
    </row>
    <row r="8" spans="1:77" ht="25.8" x14ac:dyDescent="0.5">
      <c r="A8" s="78"/>
      <c r="D8" s="39" t="s">
        <v>50</v>
      </c>
      <c r="E8" s="39"/>
      <c r="BW8" s="78"/>
      <c r="BX8" s="78"/>
    </row>
    <row r="9" spans="1:77" x14ac:dyDescent="0.3">
      <c r="A9" s="78"/>
      <c r="D9" s="40" t="s">
        <v>97</v>
      </c>
      <c r="E9" s="1">
        <v>2021</v>
      </c>
      <c r="BW9" s="78"/>
      <c r="BX9" s="78"/>
    </row>
    <row r="10" spans="1:77" x14ac:dyDescent="0.3">
      <c r="A10" s="78"/>
      <c r="BW10" s="78"/>
      <c r="BX10" s="78"/>
    </row>
    <row r="11" spans="1:77" ht="13.8" customHeight="1" x14ac:dyDescent="0.3">
      <c r="A11" s="78"/>
      <c r="C11" s="120" t="s">
        <v>1</v>
      </c>
      <c r="D11" s="120" t="s">
        <v>2</v>
      </c>
      <c r="E11" s="120" t="s">
        <v>6</v>
      </c>
      <c r="F11" s="120" t="s">
        <v>51</v>
      </c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/>
      <c r="AK11" s="119" t="s">
        <v>54</v>
      </c>
      <c r="AL11" s="120" t="s">
        <v>52</v>
      </c>
      <c r="AM11" s="120"/>
      <c r="AN11" s="120"/>
      <c r="AO11" s="120"/>
      <c r="AP11" s="120"/>
      <c r="AQ11" s="120"/>
      <c r="AR11" s="120"/>
      <c r="AS11" s="120"/>
      <c r="AT11" s="120"/>
      <c r="AU11" s="120"/>
      <c r="AV11" s="120"/>
      <c r="AW11" s="120"/>
      <c r="AX11" s="120"/>
      <c r="AY11" s="120"/>
      <c r="AZ11" s="120"/>
      <c r="BA11" s="120"/>
      <c r="BB11" s="120"/>
      <c r="BC11" s="120"/>
      <c r="BD11" s="120"/>
      <c r="BE11" s="120"/>
      <c r="BF11" s="120"/>
      <c r="BG11" s="120"/>
      <c r="BH11" s="120"/>
      <c r="BI11" s="120"/>
      <c r="BJ11" s="120"/>
      <c r="BK11" s="120"/>
      <c r="BL11" s="120"/>
      <c r="BM11" s="120"/>
      <c r="BN11" s="120"/>
      <c r="BO11" s="120"/>
      <c r="BP11" s="120"/>
      <c r="BQ11" s="119" t="s">
        <v>112</v>
      </c>
      <c r="BR11" s="122" t="s">
        <v>113</v>
      </c>
      <c r="BS11" s="122" t="s">
        <v>114</v>
      </c>
      <c r="BT11" s="119" t="s">
        <v>53</v>
      </c>
      <c r="BU11" s="120" t="s">
        <v>8</v>
      </c>
      <c r="BW11" s="78"/>
      <c r="BX11" s="78"/>
    </row>
    <row r="12" spans="1:77" x14ac:dyDescent="0.3">
      <c r="A12" s="78"/>
      <c r="C12" s="120"/>
      <c r="D12" s="120"/>
      <c r="E12" s="120"/>
      <c r="F12" s="18">
        <v>1</v>
      </c>
      <c r="G12" s="18">
        <v>2</v>
      </c>
      <c r="H12" s="18">
        <v>3</v>
      </c>
      <c r="I12" s="18">
        <v>4</v>
      </c>
      <c r="J12" s="18">
        <v>5</v>
      </c>
      <c r="K12" s="18">
        <v>6</v>
      </c>
      <c r="L12" s="18">
        <v>7</v>
      </c>
      <c r="M12" s="18">
        <v>8</v>
      </c>
      <c r="N12" s="18">
        <v>9</v>
      </c>
      <c r="O12" s="18">
        <v>10</v>
      </c>
      <c r="P12" s="18">
        <v>11</v>
      </c>
      <c r="Q12" s="18">
        <v>12</v>
      </c>
      <c r="R12" s="18">
        <v>13</v>
      </c>
      <c r="S12" s="18">
        <v>14</v>
      </c>
      <c r="T12" s="18">
        <v>15</v>
      </c>
      <c r="U12" s="18">
        <v>16</v>
      </c>
      <c r="V12" s="18">
        <v>17</v>
      </c>
      <c r="W12" s="18">
        <v>18</v>
      </c>
      <c r="X12" s="18">
        <v>19</v>
      </c>
      <c r="Y12" s="18">
        <v>20</v>
      </c>
      <c r="Z12" s="18">
        <v>21</v>
      </c>
      <c r="AA12" s="18">
        <v>22</v>
      </c>
      <c r="AB12" s="18">
        <v>23</v>
      </c>
      <c r="AC12" s="18">
        <v>24</v>
      </c>
      <c r="AD12" s="18">
        <v>25</v>
      </c>
      <c r="AE12" s="18">
        <v>26</v>
      </c>
      <c r="AF12" s="18">
        <v>27</v>
      </c>
      <c r="AG12" s="18">
        <v>28</v>
      </c>
      <c r="AH12" s="18">
        <v>29</v>
      </c>
      <c r="AI12" s="18">
        <v>30</v>
      </c>
      <c r="AJ12" s="18"/>
      <c r="AK12" s="119"/>
      <c r="AL12" s="18">
        <v>1</v>
      </c>
      <c r="AM12" s="18">
        <v>2</v>
      </c>
      <c r="AN12" s="18">
        <v>3</v>
      </c>
      <c r="AO12" s="18">
        <v>4</v>
      </c>
      <c r="AP12" s="18">
        <v>5</v>
      </c>
      <c r="AQ12" s="18">
        <v>6</v>
      </c>
      <c r="AR12" s="18">
        <v>7</v>
      </c>
      <c r="AS12" s="18">
        <v>8</v>
      </c>
      <c r="AT12" s="18">
        <v>9</v>
      </c>
      <c r="AU12" s="18">
        <v>10</v>
      </c>
      <c r="AV12" s="18">
        <v>11</v>
      </c>
      <c r="AW12" s="18">
        <v>12</v>
      </c>
      <c r="AX12" s="18">
        <v>13</v>
      </c>
      <c r="AY12" s="18">
        <v>14</v>
      </c>
      <c r="AZ12" s="18">
        <v>15</v>
      </c>
      <c r="BA12" s="18">
        <v>16</v>
      </c>
      <c r="BB12" s="18">
        <v>17</v>
      </c>
      <c r="BC12" s="18">
        <v>18</v>
      </c>
      <c r="BD12" s="18">
        <v>19</v>
      </c>
      <c r="BE12" s="18">
        <v>20</v>
      </c>
      <c r="BF12" s="18">
        <v>21</v>
      </c>
      <c r="BG12" s="18">
        <v>22</v>
      </c>
      <c r="BH12" s="18">
        <v>23</v>
      </c>
      <c r="BI12" s="18">
        <v>24</v>
      </c>
      <c r="BJ12" s="18">
        <v>25</v>
      </c>
      <c r="BK12" s="18">
        <v>26</v>
      </c>
      <c r="BL12" s="18">
        <v>27</v>
      </c>
      <c r="BM12" s="18">
        <v>28</v>
      </c>
      <c r="BN12" s="18">
        <v>29</v>
      </c>
      <c r="BO12" s="18">
        <v>30</v>
      </c>
      <c r="BP12" s="18"/>
      <c r="BQ12" s="119"/>
      <c r="BR12" s="123"/>
      <c r="BS12" s="123"/>
      <c r="BT12" s="119"/>
      <c r="BU12" s="120"/>
      <c r="BW12" s="78"/>
      <c r="BX12" s="78"/>
    </row>
    <row r="13" spans="1:77" ht="25.8" x14ac:dyDescent="0.3">
      <c r="A13" s="78"/>
      <c r="C13" s="120"/>
      <c r="D13" s="120"/>
      <c r="E13" s="120"/>
      <c r="F13" s="38">
        <f>WEEKDAY($D$1+F12)</f>
        <v>2</v>
      </c>
      <c r="G13" s="38">
        <f t="shared" ref="G13:AI13" si="0">WEEKDAY($D$1+G12)</f>
        <v>3</v>
      </c>
      <c r="H13" s="38">
        <f t="shared" si="0"/>
        <v>4</v>
      </c>
      <c r="I13" s="38">
        <f t="shared" si="0"/>
        <v>5</v>
      </c>
      <c r="J13" s="38">
        <f t="shared" si="0"/>
        <v>6</v>
      </c>
      <c r="K13" s="38">
        <f t="shared" si="0"/>
        <v>7</v>
      </c>
      <c r="L13" s="38">
        <f t="shared" si="0"/>
        <v>1</v>
      </c>
      <c r="M13" s="38">
        <f t="shared" si="0"/>
        <v>2</v>
      </c>
      <c r="N13" s="38">
        <f t="shared" si="0"/>
        <v>3</v>
      </c>
      <c r="O13" s="38">
        <f t="shared" si="0"/>
        <v>4</v>
      </c>
      <c r="P13" s="38">
        <f t="shared" si="0"/>
        <v>5</v>
      </c>
      <c r="Q13" s="38">
        <f t="shared" si="0"/>
        <v>6</v>
      </c>
      <c r="R13" s="38">
        <f t="shared" si="0"/>
        <v>7</v>
      </c>
      <c r="S13" s="38">
        <f t="shared" si="0"/>
        <v>1</v>
      </c>
      <c r="T13" s="38">
        <f t="shared" si="0"/>
        <v>2</v>
      </c>
      <c r="U13" s="38">
        <f t="shared" si="0"/>
        <v>3</v>
      </c>
      <c r="V13" s="38">
        <f t="shared" si="0"/>
        <v>4</v>
      </c>
      <c r="W13" s="38">
        <f t="shared" si="0"/>
        <v>5</v>
      </c>
      <c r="X13" s="38">
        <f t="shared" si="0"/>
        <v>6</v>
      </c>
      <c r="Y13" s="38">
        <f t="shared" si="0"/>
        <v>7</v>
      </c>
      <c r="Z13" s="38">
        <f t="shared" si="0"/>
        <v>1</v>
      </c>
      <c r="AA13" s="38">
        <f t="shared" si="0"/>
        <v>2</v>
      </c>
      <c r="AB13" s="38">
        <f t="shared" si="0"/>
        <v>3</v>
      </c>
      <c r="AC13" s="38">
        <f t="shared" si="0"/>
        <v>4</v>
      </c>
      <c r="AD13" s="38">
        <f t="shared" si="0"/>
        <v>5</v>
      </c>
      <c r="AE13" s="38">
        <f t="shared" si="0"/>
        <v>6</v>
      </c>
      <c r="AF13" s="38">
        <f t="shared" si="0"/>
        <v>7</v>
      </c>
      <c r="AG13" s="38">
        <f t="shared" si="0"/>
        <v>1</v>
      </c>
      <c r="AH13" s="38">
        <f t="shared" si="0"/>
        <v>2</v>
      </c>
      <c r="AI13" s="38">
        <f t="shared" si="0"/>
        <v>3</v>
      </c>
      <c r="AJ13" s="38"/>
      <c r="AK13" s="119"/>
      <c r="AL13" s="38">
        <f>WEEKDAY($D$1+AL12)</f>
        <v>2</v>
      </c>
      <c r="AM13" s="38">
        <f t="shared" ref="AM13:BO13" si="1">WEEKDAY($D$1+AM12)</f>
        <v>3</v>
      </c>
      <c r="AN13" s="38">
        <f t="shared" si="1"/>
        <v>4</v>
      </c>
      <c r="AO13" s="38">
        <f t="shared" si="1"/>
        <v>5</v>
      </c>
      <c r="AP13" s="38">
        <f t="shared" si="1"/>
        <v>6</v>
      </c>
      <c r="AQ13" s="38">
        <f t="shared" si="1"/>
        <v>7</v>
      </c>
      <c r="AR13" s="38">
        <f t="shared" si="1"/>
        <v>1</v>
      </c>
      <c r="AS13" s="38">
        <f t="shared" si="1"/>
        <v>2</v>
      </c>
      <c r="AT13" s="38">
        <f t="shared" si="1"/>
        <v>3</v>
      </c>
      <c r="AU13" s="38">
        <f t="shared" si="1"/>
        <v>4</v>
      </c>
      <c r="AV13" s="38">
        <f t="shared" si="1"/>
        <v>5</v>
      </c>
      <c r="AW13" s="38">
        <f t="shared" si="1"/>
        <v>6</v>
      </c>
      <c r="AX13" s="38">
        <f t="shared" si="1"/>
        <v>7</v>
      </c>
      <c r="AY13" s="38">
        <f t="shared" si="1"/>
        <v>1</v>
      </c>
      <c r="AZ13" s="38">
        <f t="shared" si="1"/>
        <v>2</v>
      </c>
      <c r="BA13" s="38">
        <f t="shared" si="1"/>
        <v>3</v>
      </c>
      <c r="BB13" s="38">
        <f t="shared" si="1"/>
        <v>4</v>
      </c>
      <c r="BC13" s="38">
        <f t="shared" si="1"/>
        <v>5</v>
      </c>
      <c r="BD13" s="38">
        <f t="shared" si="1"/>
        <v>6</v>
      </c>
      <c r="BE13" s="38">
        <f t="shared" si="1"/>
        <v>7</v>
      </c>
      <c r="BF13" s="38">
        <f t="shared" si="1"/>
        <v>1</v>
      </c>
      <c r="BG13" s="38">
        <f t="shared" si="1"/>
        <v>2</v>
      </c>
      <c r="BH13" s="38">
        <f t="shared" si="1"/>
        <v>3</v>
      </c>
      <c r="BI13" s="38">
        <f t="shared" si="1"/>
        <v>4</v>
      </c>
      <c r="BJ13" s="38">
        <f t="shared" si="1"/>
        <v>5</v>
      </c>
      <c r="BK13" s="38">
        <f t="shared" si="1"/>
        <v>6</v>
      </c>
      <c r="BL13" s="38">
        <f t="shared" si="1"/>
        <v>7</v>
      </c>
      <c r="BM13" s="38">
        <f t="shared" si="1"/>
        <v>1</v>
      </c>
      <c r="BN13" s="38">
        <f t="shared" si="1"/>
        <v>2</v>
      </c>
      <c r="BO13" s="38">
        <f t="shared" si="1"/>
        <v>3</v>
      </c>
      <c r="BP13" s="38"/>
      <c r="BQ13" s="119"/>
      <c r="BR13" s="124"/>
      <c r="BS13" s="124"/>
      <c r="BT13" s="119"/>
      <c r="BU13" s="120"/>
      <c r="BW13" s="78"/>
      <c r="BX13" s="78"/>
    </row>
    <row r="14" spans="1:77" x14ac:dyDescent="0.3">
      <c r="A14" s="78"/>
      <c r="C14" s="4">
        <v>1</v>
      </c>
      <c r="D14" s="5" t="str">
        <f>IF(VLOOKUP(C14,DSNV!$C$8:$N$48,3,FALSE)=0,"",VLOOKUP(C14,DSNV!$C$8:$N$48,3,FALSE))</f>
        <v>Nguyễn Võ Như Bình</v>
      </c>
      <c r="E14" s="4" t="str">
        <f>IF(VLOOKUP(C14,DSNV!$C$8:$N$48,8,FALSE)="","",VLOOKUP(C14,DSNV!$C$8:$N$48,8,FALSE))</f>
        <v>Thành viên</v>
      </c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>
        <f>SUM(F14:AJ14)</f>
        <v>0</v>
      </c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>
        <f>SUM(AL14:BP14)</f>
        <v>0</v>
      </c>
      <c r="BR14" s="4"/>
      <c r="BS14" s="4"/>
      <c r="BT14" s="45">
        <f>SUM(AK14,BQ14:BS14)</f>
        <v>0</v>
      </c>
      <c r="BU14" s="5"/>
      <c r="BW14" s="78"/>
      <c r="BX14" s="78"/>
    </row>
    <row r="15" spans="1:77" x14ac:dyDescent="0.3">
      <c r="A15" s="78"/>
      <c r="C15" s="6">
        <v>2</v>
      </c>
      <c r="D15" s="5" t="str">
        <f>IF(VLOOKUP(C15,DSNV!$C$8:$N$48,3,FALSE)=0,"",VLOOKUP(C15,DSNV!$C$8:$N$48,3,FALSE))</f>
        <v>Võ Khánh Đoan</v>
      </c>
      <c r="E15" s="4" t="str">
        <f>IF(VLOOKUP(C15,DSNV!$C$8:$N$48,8,FALSE)="","",VLOOKUP(C15,DSNV!$C$8:$N$48,8,FALSE))</f>
        <v>Thành viên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4">
        <f t="shared" ref="AK15:AK53" si="2">SUM(F15:AJ15)</f>
        <v>0</v>
      </c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4">
        <f t="shared" ref="BQ15:BQ53" si="3">SUM(AL15:BP15)</f>
        <v>0</v>
      </c>
      <c r="BR15" s="4"/>
      <c r="BS15" s="4"/>
      <c r="BT15" s="45">
        <f t="shared" ref="BT15:BT53" si="4">SUM(AK15,BQ15:BS15)</f>
        <v>0</v>
      </c>
      <c r="BU15" s="7"/>
      <c r="BW15" s="78"/>
      <c r="BX15" s="78"/>
    </row>
    <row r="16" spans="1:77" x14ac:dyDescent="0.3">
      <c r="A16" s="78"/>
      <c r="C16" s="6">
        <v>3</v>
      </c>
      <c r="D16" s="5" t="str">
        <f>IF(VLOOKUP(C16,DSNV!$C$8:$N$48,3,FALSE)=0,"",VLOOKUP(C16,DSNV!$C$8:$N$48,3,FALSE))</f>
        <v>Nguyễn Thu Hà</v>
      </c>
      <c r="E16" s="4" t="str">
        <f>IF(VLOOKUP(C16,DSNV!$C$8:$N$48,8,FALSE)="","",VLOOKUP(C16,DSNV!$C$8:$N$48,8,FALSE))</f>
        <v>Thành viên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4">
        <f t="shared" si="2"/>
        <v>0</v>
      </c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4">
        <f t="shared" si="3"/>
        <v>0</v>
      </c>
      <c r="BR16" s="4"/>
      <c r="BS16" s="4"/>
      <c r="BT16" s="45">
        <f t="shared" si="4"/>
        <v>0</v>
      </c>
      <c r="BU16" s="7"/>
      <c r="BW16" s="78"/>
      <c r="BX16" s="78"/>
    </row>
    <row r="17" spans="1:76" x14ac:dyDescent="0.3">
      <c r="A17" s="78"/>
      <c r="C17" s="6">
        <v>4</v>
      </c>
      <c r="D17" s="5" t="str">
        <f>IF(VLOOKUP(C17,DSNV!$C$8:$N$48,3,FALSE)=0,"",VLOOKUP(C17,DSNV!$C$8:$N$48,3,FALSE))</f>
        <v>Trương Thị Phú Hiệp</v>
      </c>
      <c r="E17" s="4" t="str">
        <f>IF(VLOOKUP(C17,DSNV!$C$8:$N$48,8,FALSE)="","",VLOOKUP(C17,DSNV!$C$8:$N$48,8,FALSE))</f>
        <v>Thành viên</v>
      </c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4">
        <f t="shared" si="2"/>
        <v>0</v>
      </c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4">
        <f t="shared" si="3"/>
        <v>0</v>
      </c>
      <c r="BR17" s="4"/>
      <c r="BS17" s="4"/>
      <c r="BT17" s="45">
        <f t="shared" si="4"/>
        <v>0</v>
      </c>
      <c r="BU17" s="7"/>
      <c r="BW17" s="78"/>
      <c r="BX17" s="78"/>
    </row>
    <row r="18" spans="1:76" x14ac:dyDescent="0.3">
      <c r="A18" s="78"/>
      <c r="C18" s="6">
        <v>5</v>
      </c>
      <c r="D18" s="5" t="str">
        <f>IF(VLOOKUP(C18,DSNV!$C$8:$N$48,3,FALSE)=0,"",VLOOKUP(C18,DSNV!$C$8:$N$48,3,FALSE))</f>
        <v>Nguyễn Thị Bích Hồng</v>
      </c>
      <c r="E18" s="4" t="str">
        <f>IF(VLOOKUP(C18,DSNV!$C$8:$N$48,8,FALSE)="","",VLOOKUP(C18,DSNV!$C$8:$N$48,8,FALSE))</f>
        <v>Thành viên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4">
        <f t="shared" si="2"/>
        <v>0</v>
      </c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4">
        <f t="shared" si="3"/>
        <v>0</v>
      </c>
      <c r="BR18" s="4"/>
      <c r="BS18" s="4"/>
      <c r="BT18" s="45">
        <f t="shared" si="4"/>
        <v>0</v>
      </c>
      <c r="BU18" s="7"/>
      <c r="BW18" s="78"/>
      <c r="BX18" s="78"/>
    </row>
    <row r="19" spans="1:76" x14ac:dyDescent="0.3">
      <c r="A19" s="78"/>
      <c r="C19" s="6">
        <v>6</v>
      </c>
      <c r="D19" s="5" t="str">
        <f>IF(VLOOKUP(C19,DSNV!$C$8:$N$48,3,FALSE)=0,"",VLOOKUP(C19,DSNV!$C$8:$N$48,3,FALSE))</f>
        <v>Phạm Thị Ngọc Hồng</v>
      </c>
      <c r="E19" s="4" t="str">
        <f>IF(VLOOKUP(C19,DSNV!$C$8:$N$48,8,FALSE)="","",VLOOKUP(C19,DSNV!$C$8:$N$48,8,FALSE))</f>
        <v>Thành viên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4">
        <f t="shared" si="2"/>
        <v>0</v>
      </c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4">
        <f t="shared" si="3"/>
        <v>0</v>
      </c>
      <c r="BR19" s="4">
        <f>BQ19/2</f>
        <v>0</v>
      </c>
      <c r="BS19" s="4"/>
      <c r="BT19" s="45">
        <f t="shared" si="4"/>
        <v>0</v>
      </c>
      <c r="BU19" s="7"/>
      <c r="BW19" s="78"/>
      <c r="BX19" s="78"/>
    </row>
    <row r="20" spans="1:76" x14ac:dyDescent="0.3">
      <c r="A20" s="78"/>
      <c r="C20" s="6">
        <v>7</v>
      </c>
      <c r="D20" s="5" t="str">
        <f>IF(VLOOKUP(C20,DSNV!$C$8:$N$48,3,FALSE)=0,"",VLOOKUP(C20,DSNV!$C$8:$N$48,3,FALSE))</f>
        <v>Phạm Thị Huệ</v>
      </c>
      <c r="E20" s="4" t="str">
        <f>IF(VLOOKUP(C20,DSNV!$C$8:$N$48,8,FALSE)="","",VLOOKUP(C20,DSNV!$C$8:$N$48,8,FALSE))</f>
        <v>Trưởng ban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4">
        <f t="shared" si="2"/>
        <v>0</v>
      </c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4">
        <f t="shared" si="3"/>
        <v>0</v>
      </c>
      <c r="BR20" s="4">
        <f t="shared" ref="BR20:BR21" si="5">BQ20/2</f>
        <v>0</v>
      </c>
      <c r="BS20" s="4"/>
      <c r="BT20" s="45">
        <f t="shared" si="4"/>
        <v>0</v>
      </c>
      <c r="BU20" s="7" t="s">
        <v>166</v>
      </c>
      <c r="BW20" s="78"/>
      <c r="BX20" s="78"/>
    </row>
    <row r="21" spans="1:76" x14ac:dyDescent="0.3">
      <c r="A21" s="78"/>
      <c r="C21" s="6">
        <v>8</v>
      </c>
      <c r="D21" s="5" t="str">
        <f>IF(VLOOKUP(C21,DSNV!$C$8:$N$48,3,FALSE)=0,"",VLOOKUP(C21,DSNV!$C$8:$N$48,3,FALSE))</f>
        <v>Nguyễn Thị Quỳnh Hương</v>
      </c>
      <c r="E21" s="4" t="str">
        <f>IF(VLOOKUP(C21,DSNV!$C$8:$N$48,8,FALSE)="","",VLOOKUP(C21,DSNV!$C$8:$N$48,8,FALSE))</f>
        <v>Trưởng ban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4">
        <f t="shared" si="2"/>
        <v>0</v>
      </c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4">
        <f t="shared" si="3"/>
        <v>0</v>
      </c>
      <c r="BR21" s="4">
        <f t="shared" si="5"/>
        <v>0</v>
      </c>
      <c r="BS21" s="4"/>
      <c r="BT21" s="45">
        <f t="shared" si="4"/>
        <v>0</v>
      </c>
      <c r="BU21" s="7"/>
      <c r="BW21" s="78"/>
      <c r="BX21" s="78"/>
    </row>
    <row r="22" spans="1:76" x14ac:dyDescent="0.3">
      <c r="A22" s="78"/>
      <c r="C22" s="6">
        <v>9</v>
      </c>
      <c r="D22" s="5" t="str">
        <f>IF(VLOOKUP(C22,DSNV!$C$8:$N$48,3,FALSE)=0,"",VLOOKUP(C22,DSNV!$C$8:$N$48,3,FALSE))</f>
        <v>Huỳnh Thanh Huyên</v>
      </c>
      <c r="E22" s="4" t="str">
        <f>IF(VLOOKUP(C22,DSNV!$C$8:$N$48,8,FALSE)="","",VLOOKUP(C22,DSNV!$C$8:$N$48,8,FALSE))</f>
        <v>Thành viên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4">
        <f t="shared" si="2"/>
        <v>0</v>
      </c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4">
        <f t="shared" si="3"/>
        <v>0</v>
      </c>
      <c r="BR22" s="4"/>
      <c r="BS22" s="4"/>
      <c r="BT22" s="45">
        <f t="shared" si="4"/>
        <v>0</v>
      </c>
      <c r="BU22" s="7"/>
      <c r="BW22" s="78"/>
      <c r="BX22" s="78"/>
    </row>
    <row r="23" spans="1:76" x14ac:dyDescent="0.3">
      <c r="A23" s="78"/>
      <c r="C23" s="6">
        <v>10</v>
      </c>
      <c r="D23" s="5" t="str">
        <f>IF(VLOOKUP(C23,DSNV!$C$8:$N$48,3,FALSE)=0,"",VLOOKUP(C23,DSNV!$C$8:$N$48,3,FALSE))</f>
        <v>Lê Hữu Di Mi</v>
      </c>
      <c r="E23" s="4" t="str">
        <f>IF(VLOOKUP(C23,DSNV!$C$8:$N$48,8,FALSE)="","",VLOOKUP(C23,DSNV!$C$8:$N$48,8,FALSE))</f>
        <v>Thành viên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4">
        <f t="shared" si="2"/>
        <v>0</v>
      </c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4">
        <f t="shared" si="3"/>
        <v>0</v>
      </c>
      <c r="BR23" s="4"/>
      <c r="BS23" s="4"/>
      <c r="BT23" s="45">
        <f t="shared" si="4"/>
        <v>0</v>
      </c>
      <c r="BU23" s="7"/>
      <c r="BW23" s="78"/>
      <c r="BX23" s="78"/>
    </row>
    <row r="24" spans="1:76" x14ac:dyDescent="0.3">
      <c r="A24" s="78"/>
      <c r="C24" s="6">
        <v>11</v>
      </c>
      <c r="D24" s="5" t="str">
        <f>IF(VLOOKUP(C24,DSNV!$C$8:$N$48,3,FALSE)=0,"",VLOOKUP(C24,DSNV!$C$8:$N$48,3,FALSE))</f>
        <v>Nguyễn Nhựt Minh</v>
      </c>
      <c r="E24" s="4" t="str">
        <f>IF(VLOOKUP(C24,DSNV!$C$8:$N$48,8,FALSE)="","",VLOOKUP(C24,DSNV!$C$8:$N$48,8,FALSE))</f>
        <v>Trưởng ban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4">
        <f t="shared" si="2"/>
        <v>0</v>
      </c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4">
        <f t="shared" si="3"/>
        <v>0</v>
      </c>
      <c r="BR24" s="4">
        <f>BQ24/2</f>
        <v>0</v>
      </c>
      <c r="BS24" s="4"/>
      <c r="BT24" s="45">
        <f t="shared" si="4"/>
        <v>0</v>
      </c>
      <c r="BU24" s="7"/>
      <c r="BW24" s="78"/>
      <c r="BX24" s="78"/>
    </row>
    <row r="25" spans="1:76" x14ac:dyDescent="0.3">
      <c r="A25" s="78"/>
      <c r="C25" s="6">
        <v>12</v>
      </c>
      <c r="D25" s="5" t="str">
        <f>IF(VLOOKUP(C25,DSNV!$C$8:$N$48,3,FALSE)=0,"",VLOOKUP(C25,DSNV!$C$8:$N$48,3,FALSE))</f>
        <v>Lê Thảo Nguyên</v>
      </c>
      <c r="E25" s="4" t="str">
        <f>IF(VLOOKUP(C25,DSNV!$C$8:$N$48,8,FALSE)="","",VLOOKUP(C25,DSNV!$C$8:$N$48,8,FALSE))</f>
        <v>Thành viên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4">
        <f t="shared" si="2"/>
        <v>0</v>
      </c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4">
        <f t="shared" si="3"/>
        <v>0</v>
      </c>
      <c r="BR25" s="4">
        <f>BQ25/2</f>
        <v>0</v>
      </c>
      <c r="BS25" s="4"/>
      <c r="BT25" s="45">
        <f t="shared" si="4"/>
        <v>0</v>
      </c>
      <c r="BU25" s="7"/>
      <c r="BW25" s="78"/>
      <c r="BX25" s="78"/>
    </row>
    <row r="26" spans="1:76" x14ac:dyDescent="0.3">
      <c r="A26" s="78"/>
      <c r="C26" s="6">
        <v>13</v>
      </c>
      <c r="D26" s="5" t="str">
        <f>IF(VLOOKUP(C26,DSNV!$C$8:$N$48,3,FALSE)=0,"",VLOOKUP(C26,DSNV!$C$8:$N$48,3,FALSE))</f>
        <v>Võ Thị Xuân Nữ</v>
      </c>
      <c r="E26" s="4" t="str">
        <f>IF(VLOOKUP(C26,DSNV!$C$8:$N$48,8,FALSE)="","",VLOOKUP(C26,DSNV!$C$8:$N$48,8,FALSE))</f>
        <v>Thành viên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4">
        <f t="shared" si="2"/>
        <v>0</v>
      </c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4">
        <f t="shared" si="3"/>
        <v>0</v>
      </c>
      <c r="BR26" s="4"/>
      <c r="BS26" s="4"/>
      <c r="BT26" s="45">
        <f t="shared" si="4"/>
        <v>0</v>
      </c>
      <c r="BU26" s="7"/>
      <c r="BW26" s="78"/>
      <c r="BX26" s="78"/>
    </row>
    <row r="27" spans="1:76" x14ac:dyDescent="0.3">
      <c r="A27" s="78"/>
      <c r="C27" s="6">
        <v>14</v>
      </c>
      <c r="D27" s="5" t="str">
        <f>IF(VLOOKUP(C27,DSNV!$C$8:$N$48,3,FALSE)=0,"",VLOOKUP(C27,DSNV!$C$8:$N$48,3,FALSE))</f>
        <v>Đỗ Thị Lan Phương</v>
      </c>
      <c r="E27" s="4" t="str">
        <f>IF(VLOOKUP(C27,DSNV!$C$8:$N$48,8,FALSE)="","",VLOOKUP(C27,DSNV!$C$8:$N$48,8,FALSE))</f>
        <v>Thành viên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4">
        <f t="shared" si="2"/>
        <v>0</v>
      </c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4">
        <f t="shared" si="3"/>
        <v>0</v>
      </c>
      <c r="BR27" s="4"/>
      <c r="BS27" s="4"/>
      <c r="BT27" s="45">
        <f t="shared" si="4"/>
        <v>0</v>
      </c>
      <c r="BU27" s="7"/>
      <c r="BW27" s="78"/>
      <c r="BX27" s="78"/>
    </row>
    <row r="28" spans="1:76" x14ac:dyDescent="0.3">
      <c r="A28" s="78"/>
      <c r="C28" s="6">
        <v>15</v>
      </c>
      <c r="D28" s="5" t="str">
        <f>IF(VLOOKUP(C28,DSNV!$C$8:$N$48,3,FALSE)=0,"",VLOOKUP(C28,DSNV!$C$8:$N$48,3,FALSE))</f>
        <v>Nguyễn Thị Nhã Quyên</v>
      </c>
      <c r="E28" s="4" t="str">
        <f>IF(VLOOKUP(C28,DSNV!$C$8:$N$48,8,FALSE)="","",VLOOKUP(C28,DSNV!$C$8:$N$48,8,FALSE))</f>
        <v>Thành viên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4">
        <f t="shared" si="2"/>
        <v>0</v>
      </c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4">
        <f t="shared" si="3"/>
        <v>0</v>
      </c>
      <c r="BR28" s="4">
        <f t="shared" ref="BR28:BR33" si="6">BQ28/2</f>
        <v>0</v>
      </c>
      <c r="BS28" s="4"/>
      <c r="BT28" s="45">
        <f t="shared" si="4"/>
        <v>0</v>
      </c>
      <c r="BU28" s="7"/>
      <c r="BW28" s="78"/>
      <c r="BX28" s="78"/>
    </row>
    <row r="29" spans="1:76" x14ac:dyDescent="0.3">
      <c r="A29" s="78"/>
      <c r="C29" s="6">
        <v>16</v>
      </c>
      <c r="D29" s="5" t="str">
        <f>IF(VLOOKUP(C29,DSNV!$C$8:$N$48,3,FALSE)=0,"",VLOOKUP(C29,DSNV!$C$8:$N$48,3,FALSE))</f>
        <v>Nguyễn Đức Vĩnh Thắng</v>
      </c>
      <c r="E29" s="4" t="str">
        <f>IF(VLOOKUP(C29,DSNV!$C$8:$N$48,8,FALSE)="","",VLOOKUP(C29,DSNV!$C$8:$N$48,8,FALSE))</f>
        <v>Trưởng ban</v>
      </c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4">
        <f t="shared" si="2"/>
        <v>0</v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4">
        <f t="shared" si="3"/>
        <v>0</v>
      </c>
      <c r="BR29" s="4">
        <f t="shared" si="6"/>
        <v>0</v>
      </c>
      <c r="BS29" s="4"/>
      <c r="BT29" s="45">
        <f t="shared" si="4"/>
        <v>0</v>
      </c>
      <c r="BU29" s="7"/>
      <c r="BW29" s="78"/>
      <c r="BX29" s="78"/>
    </row>
    <row r="30" spans="1:76" x14ac:dyDescent="0.3">
      <c r="A30" s="78"/>
      <c r="C30" s="6">
        <v>17</v>
      </c>
      <c r="D30" s="5" t="str">
        <f>IF(VLOOKUP(C30,DSNV!$C$8:$N$48,3,FALSE)=0,"",VLOOKUP(C30,DSNV!$C$8:$N$48,3,FALSE))</f>
        <v>Nguyễn Thành Tiến</v>
      </c>
      <c r="E30" s="4" t="str">
        <f>IF(VLOOKUP(C30,DSNV!$C$8:$N$48,8,FALSE)="","",VLOOKUP(C30,DSNV!$C$8:$N$48,8,FALSE))</f>
        <v>Thành viên</v>
      </c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4">
        <f t="shared" si="2"/>
        <v>0</v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4">
        <f t="shared" si="3"/>
        <v>0</v>
      </c>
      <c r="BR30" s="4">
        <f t="shared" si="6"/>
        <v>0</v>
      </c>
      <c r="BS30" s="4"/>
      <c r="BT30" s="45">
        <f t="shared" si="4"/>
        <v>0</v>
      </c>
      <c r="BU30" s="7"/>
      <c r="BW30" s="78"/>
      <c r="BX30" s="78"/>
    </row>
    <row r="31" spans="1:76" x14ac:dyDescent="0.3">
      <c r="A31" s="78"/>
      <c r="C31" s="6">
        <v>18</v>
      </c>
      <c r="D31" s="5" t="str">
        <f>IF(VLOOKUP(C31,DSNV!$C$8:$N$48,3,FALSE)=0,"",VLOOKUP(C31,DSNV!$C$8:$N$48,3,FALSE))</f>
        <v>Trần Thị Trúc</v>
      </c>
      <c r="E31" s="4" t="str">
        <f>IF(VLOOKUP(C31,DSNV!$C$8:$N$48,8,FALSE)="","",VLOOKUP(C31,DSNV!$C$8:$N$48,8,FALSE))</f>
        <v>Thành viên</v>
      </c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4">
        <f t="shared" si="2"/>
        <v>0</v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4">
        <f t="shared" si="3"/>
        <v>0</v>
      </c>
      <c r="BR31" s="4">
        <f t="shared" si="6"/>
        <v>0</v>
      </c>
      <c r="BS31" s="4"/>
      <c r="BT31" s="45">
        <f t="shared" si="4"/>
        <v>0</v>
      </c>
      <c r="BU31" s="7"/>
      <c r="BW31" s="78"/>
      <c r="BX31" s="78"/>
    </row>
    <row r="32" spans="1:76" x14ac:dyDescent="0.3">
      <c r="A32" s="78"/>
      <c r="C32" s="6">
        <v>19</v>
      </c>
      <c r="D32" s="5" t="str">
        <f>IF(VLOOKUP(C32,DSNV!$C$8:$N$48,3,FALSE)=0,"",VLOOKUP(C32,DSNV!$C$8:$N$48,3,FALSE))</f>
        <v>Bùi Hoàng Trung</v>
      </c>
      <c r="E32" s="4" t="str">
        <f>IF(VLOOKUP(C32,DSNV!$C$8:$N$48,8,FALSE)="","",VLOOKUP(C32,DSNV!$C$8:$N$48,8,FALSE))</f>
        <v>Thành viên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4">
        <f t="shared" si="2"/>
        <v>0</v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4">
        <f t="shared" si="3"/>
        <v>0</v>
      </c>
      <c r="BR32" s="4">
        <f t="shared" si="6"/>
        <v>0</v>
      </c>
      <c r="BS32" s="4"/>
      <c r="BT32" s="45">
        <f t="shared" si="4"/>
        <v>0</v>
      </c>
      <c r="BU32" s="7"/>
      <c r="BW32" s="78"/>
      <c r="BX32" s="78"/>
    </row>
    <row r="33" spans="1:76" ht="15" thickBot="1" x14ac:dyDescent="0.35">
      <c r="A33" s="78"/>
      <c r="C33" s="6">
        <v>20</v>
      </c>
      <c r="D33" s="5" t="str">
        <f>IF(VLOOKUP(C33,DSNV!$C$8:$N$48,3,FALSE)=0,"",VLOOKUP(C33,DSNV!$C$8:$N$48,3,FALSE))</f>
        <v>Ngô Trúc Tường Vy</v>
      </c>
      <c r="E33" s="4" t="str">
        <f>IF(VLOOKUP(C33,DSNV!$C$8:$N$48,8,FALSE)="","",VLOOKUP(C33,DSNV!$C$8:$N$48,8,FALSE))</f>
        <v>Trưởng ban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4">
        <f t="shared" si="2"/>
        <v>0</v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4">
        <f t="shared" si="3"/>
        <v>0</v>
      </c>
      <c r="BR33" s="4">
        <f t="shared" si="6"/>
        <v>0</v>
      </c>
      <c r="BS33" s="4"/>
      <c r="BT33" s="45">
        <f t="shared" si="4"/>
        <v>0</v>
      </c>
      <c r="BU33" s="7"/>
      <c r="BW33" s="78"/>
      <c r="BX33" s="78"/>
    </row>
    <row r="34" spans="1:76" ht="15" hidden="1" thickBot="1" x14ac:dyDescent="0.35">
      <c r="A34" s="78"/>
      <c r="C34" s="6">
        <v>21</v>
      </c>
      <c r="D34" s="5" t="str">
        <f>IF(VLOOKUP(C34,DSNV!$C$8:$N$48,3,FALSE)=0,"",VLOOKUP(C34,DSNV!$C$8:$N$48,3,FALSE))</f>
        <v/>
      </c>
      <c r="E34" s="4" t="str">
        <f>IF(VLOOKUP(C34,DSNV!$C$8:$N$48,8,FALSE)="","",VLOOKUP(C34,DSNV!$C$8:$N$48,8,FALSE))</f>
        <v/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4">
        <f t="shared" si="2"/>
        <v>0</v>
      </c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4">
        <f t="shared" si="3"/>
        <v>0</v>
      </c>
      <c r="BR34" s="4"/>
      <c r="BS34" s="4"/>
      <c r="BT34" s="45">
        <f t="shared" si="4"/>
        <v>0</v>
      </c>
      <c r="BU34" s="7"/>
      <c r="BW34" s="78"/>
      <c r="BX34" s="78"/>
    </row>
    <row r="35" spans="1:76" ht="15" hidden="1" thickBot="1" x14ac:dyDescent="0.35">
      <c r="A35" s="78"/>
      <c r="C35" s="6">
        <v>22</v>
      </c>
      <c r="D35" s="5" t="str">
        <f>IF(VLOOKUP(C35,DSNV!$C$8:$N$48,3,FALSE)=0,"",VLOOKUP(C35,DSNV!$C$8:$N$48,3,FALSE))</f>
        <v/>
      </c>
      <c r="E35" s="4" t="str">
        <f>IF(VLOOKUP(C35,DSNV!$C$8:$N$48,8,FALSE)="","",VLOOKUP(C35,DSNV!$C$8:$N$48,8,FALSE))</f>
        <v/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4">
        <f t="shared" si="2"/>
        <v>0</v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4">
        <f t="shared" si="3"/>
        <v>0</v>
      </c>
      <c r="BR35" s="4"/>
      <c r="BS35" s="4"/>
      <c r="BT35" s="45">
        <f t="shared" si="4"/>
        <v>0</v>
      </c>
      <c r="BU35" s="7"/>
      <c r="BW35" s="78"/>
      <c r="BX35" s="78"/>
    </row>
    <row r="36" spans="1:76" ht="15" hidden="1" thickBot="1" x14ac:dyDescent="0.35">
      <c r="A36" s="78"/>
      <c r="C36" s="6">
        <v>23</v>
      </c>
      <c r="D36" s="5" t="str">
        <f>IF(VLOOKUP(C36,DSNV!$C$8:$N$48,3,FALSE)=0,"",VLOOKUP(C36,DSNV!$C$8:$N$48,3,FALSE))</f>
        <v/>
      </c>
      <c r="E36" s="4" t="str">
        <f>IF(VLOOKUP(C36,DSNV!$C$8:$N$48,8,FALSE)="","",VLOOKUP(C36,DSNV!$C$8:$N$48,8,FALSE))</f>
        <v/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4">
        <f t="shared" si="2"/>
        <v>0</v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4">
        <f t="shared" si="3"/>
        <v>0</v>
      </c>
      <c r="BR36" s="4"/>
      <c r="BS36" s="4"/>
      <c r="BT36" s="45">
        <f t="shared" si="4"/>
        <v>0</v>
      </c>
      <c r="BU36" s="7"/>
      <c r="BW36" s="78"/>
      <c r="BX36" s="78"/>
    </row>
    <row r="37" spans="1:76" ht="15" hidden="1" thickBot="1" x14ac:dyDescent="0.35">
      <c r="A37" s="78"/>
      <c r="C37" s="6">
        <v>24</v>
      </c>
      <c r="D37" s="5" t="str">
        <f>IF(VLOOKUP(C37,DSNV!$C$8:$N$48,3,FALSE)=0,"",VLOOKUP(C37,DSNV!$C$8:$N$48,3,FALSE))</f>
        <v/>
      </c>
      <c r="E37" s="4" t="str">
        <f>IF(VLOOKUP(C37,DSNV!$C$8:$N$48,8,FALSE)="","",VLOOKUP(C37,DSNV!$C$8:$N$48,8,FALSE))</f>
        <v/>
      </c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4">
        <f t="shared" si="2"/>
        <v>0</v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4">
        <f t="shared" si="3"/>
        <v>0</v>
      </c>
      <c r="BR37" s="4"/>
      <c r="BS37" s="4"/>
      <c r="BT37" s="45">
        <f t="shared" si="4"/>
        <v>0</v>
      </c>
      <c r="BU37" s="7"/>
      <c r="BW37" s="78"/>
      <c r="BX37" s="78"/>
    </row>
    <row r="38" spans="1:76" ht="15" hidden="1" thickBot="1" x14ac:dyDescent="0.35">
      <c r="A38" s="78"/>
      <c r="C38" s="6">
        <v>25</v>
      </c>
      <c r="D38" s="5" t="str">
        <f>IF(VLOOKUP(C38,DSNV!$C$8:$N$48,3,FALSE)=0,"",VLOOKUP(C38,DSNV!$C$8:$N$48,3,FALSE))</f>
        <v/>
      </c>
      <c r="E38" s="4" t="str">
        <f>IF(VLOOKUP(C38,DSNV!$C$8:$N$48,8,FALSE)="","",VLOOKUP(C38,DSNV!$C$8:$N$48,8,FALSE))</f>
        <v/>
      </c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4">
        <f t="shared" si="2"/>
        <v>0</v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4">
        <f t="shared" si="3"/>
        <v>0</v>
      </c>
      <c r="BR38" s="4"/>
      <c r="BS38" s="4"/>
      <c r="BT38" s="45">
        <f t="shared" si="4"/>
        <v>0</v>
      </c>
      <c r="BU38" s="7"/>
      <c r="BW38" s="78"/>
      <c r="BX38" s="78"/>
    </row>
    <row r="39" spans="1:76" ht="15" hidden="1" thickBot="1" x14ac:dyDescent="0.35">
      <c r="A39" s="78"/>
      <c r="C39" s="6">
        <v>26</v>
      </c>
      <c r="D39" s="5" t="str">
        <f>IF(VLOOKUP(C39,DSNV!$C$8:$N$48,3,FALSE)=0,"",VLOOKUP(C39,DSNV!$C$8:$N$48,3,FALSE))</f>
        <v/>
      </c>
      <c r="E39" s="4" t="str">
        <f>IF(VLOOKUP(C39,DSNV!$C$8:$N$48,8,FALSE)="","",VLOOKUP(C39,DSNV!$C$8:$N$48,8,FALSE))</f>
        <v/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4">
        <f t="shared" si="2"/>
        <v>0</v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4">
        <f t="shared" si="3"/>
        <v>0</v>
      </c>
      <c r="BR39" s="4"/>
      <c r="BS39" s="4"/>
      <c r="BT39" s="45">
        <f t="shared" si="4"/>
        <v>0</v>
      </c>
      <c r="BU39" s="7"/>
      <c r="BW39" s="78"/>
      <c r="BX39" s="78"/>
    </row>
    <row r="40" spans="1:76" ht="15" hidden="1" thickBot="1" x14ac:dyDescent="0.35">
      <c r="A40" s="78"/>
      <c r="C40" s="6">
        <v>27</v>
      </c>
      <c r="D40" s="5" t="str">
        <f>IF(VLOOKUP(C40,DSNV!$C$8:$N$48,3,FALSE)=0,"",VLOOKUP(C40,DSNV!$C$8:$N$48,3,FALSE))</f>
        <v/>
      </c>
      <c r="E40" s="4" t="str">
        <f>IF(VLOOKUP(C40,DSNV!$C$8:$N$48,8,FALSE)="","",VLOOKUP(C40,DSNV!$C$8:$N$48,8,FALSE))</f>
        <v/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4">
        <f t="shared" si="2"/>
        <v>0</v>
      </c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4">
        <f t="shared" si="3"/>
        <v>0</v>
      </c>
      <c r="BR40" s="4"/>
      <c r="BS40" s="4"/>
      <c r="BT40" s="45">
        <f t="shared" si="4"/>
        <v>0</v>
      </c>
      <c r="BU40" s="7"/>
      <c r="BW40" s="78"/>
      <c r="BX40" s="78"/>
    </row>
    <row r="41" spans="1:76" ht="15" hidden="1" thickBot="1" x14ac:dyDescent="0.35">
      <c r="A41" s="78"/>
      <c r="C41" s="6">
        <v>28</v>
      </c>
      <c r="D41" s="5" t="str">
        <f>IF(VLOOKUP(C41,DSNV!$C$8:$N$48,3,FALSE)=0,"",VLOOKUP(C41,DSNV!$C$8:$N$48,3,FALSE))</f>
        <v/>
      </c>
      <c r="E41" s="4" t="str">
        <f>IF(VLOOKUP(C41,DSNV!$C$8:$N$48,8,FALSE)="","",VLOOKUP(C41,DSNV!$C$8:$N$48,8,FALSE))</f>
        <v/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4">
        <f t="shared" si="2"/>
        <v>0</v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4">
        <f t="shared" si="3"/>
        <v>0</v>
      </c>
      <c r="BR41" s="4"/>
      <c r="BS41" s="4"/>
      <c r="BT41" s="45">
        <f t="shared" si="4"/>
        <v>0</v>
      </c>
      <c r="BU41" s="7"/>
      <c r="BW41" s="78"/>
      <c r="BX41" s="78"/>
    </row>
    <row r="42" spans="1:76" ht="15" hidden="1" thickBot="1" x14ac:dyDescent="0.35">
      <c r="A42" s="78"/>
      <c r="C42" s="6">
        <v>29</v>
      </c>
      <c r="D42" s="5" t="str">
        <f>IF(VLOOKUP(C42,DSNV!$C$8:$N$48,3,FALSE)=0,"",VLOOKUP(C42,DSNV!$C$8:$N$48,3,FALSE))</f>
        <v/>
      </c>
      <c r="E42" s="4" t="str">
        <f>IF(VLOOKUP(C42,DSNV!$C$8:$N$48,8,FALSE)="","",VLOOKUP(C42,DSNV!$C$8:$N$48,8,FALSE))</f>
        <v/>
      </c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4">
        <f t="shared" si="2"/>
        <v>0</v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4">
        <f t="shared" si="3"/>
        <v>0</v>
      </c>
      <c r="BR42" s="4"/>
      <c r="BS42" s="4"/>
      <c r="BT42" s="45">
        <f t="shared" si="4"/>
        <v>0</v>
      </c>
      <c r="BU42" s="7"/>
      <c r="BW42" s="78"/>
      <c r="BX42" s="78"/>
    </row>
    <row r="43" spans="1:76" ht="15" hidden="1" thickBot="1" x14ac:dyDescent="0.35">
      <c r="A43" s="78"/>
      <c r="C43" s="6">
        <v>30</v>
      </c>
      <c r="D43" s="5" t="str">
        <f>IF(VLOOKUP(C43,DSNV!$C$8:$N$48,3,FALSE)=0,"",VLOOKUP(C43,DSNV!$C$8:$N$48,3,FALSE))</f>
        <v/>
      </c>
      <c r="E43" s="4" t="str">
        <f>IF(VLOOKUP(C43,DSNV!$C$8:$N$48,8,FALSE)="","",VLOOKUP(C43,DSNV!$C$8:$N$48,8,FALSE))</f>
        <v/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4">
        <f t="shared" si="2"/>
        <v>0</v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4">
        <f t="shared" si="3"/>
        <v>0</v>
      </c>
      <c r="BR43" s="4"/>
      <c r="BS43" s="4"/>
      <c r="BT43" s="45">
        <f t="shared" si="4"/>
        <v>0</v>
      </c>
      <c r="BU43" s="7"/>
      <c r="BW43" s="78"/>
      <c r="BX43" s="78"/>
    </row>
    <row r="44" spans="1:76" ht="15" hidden="1" thickBot="1" x14ac:dyDescent="0.35">
      <c r="A44" s="78"/>
      <c r="C44" s="6">
        <v>31</v>
      </c>
      <c r="D44" s="5" t="str">
        <f>IF(VLOOKUP(C44,DSNV!$C$8:$N$48,3,FALSE)=0,"",VLOOKUP(C44,DSNV!$C$8:$N$48,3,FALSE))</f>
        <v/>
      </c>
      <c r="E44" s="4" t="str">
        <f>IF(VLOOKUP(C44,DSNV!$C$8:$N$48,8,FALSE)="","",VLOOKUP(C44,DSNV!$C$8:$N$48,8,FALSE))</f>
        <v/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4">
        <f t="shared" si="2"/>
        <v>0</v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4">
        <f t="shared" si="3"/>
        <v>0</v>
      </c>
      <c r="BR44" s="4"/>
      <c r="BS44" s="4"/>
      <c r="BT44" s="45">
        <f t="shared" si="4"/>
        <v>0</v>
      </c>
      <c r="BU44" s="7"/>
      <c r="BW44" s="78"/>
      <c r="BX44" s="78"/>
    </row>
    <row r="45" spans="1:76" ht="15" hidden="1" thickBot="1" x14ac:dyDescent="0.35">
      <c r="A45" s="78"/>
      <c r="C45" s="6">
        <v>32</v>
      </c>
      <c r="D45" s="5" t="str">
        <f>IF(VLOOKUP(C45,DSNV!$C$8:$N$48,3,FALSE)=0,"",VLOOKUP(C45,DSNV!$C$8:$N$48,3,FALSE))</f>
        <v/>
      </c>
      <c r="E45" s="4" t="str">
        <f>IF(VLOOKUP(C45,DSNV!$C$8:$N$48,8,FALSE)="","",VLOOKUP(C45,DSNV!$C$8:$N$48,8,FALSE))</f>
        <v/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4">
        <f t="shared" si="2"/>
        <v>0</v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4">
        <f t="shared" si="3"/>
        <v>0</v>
      </c>
      <c r="BR45" s="4"/>
      <c r="BS45" s="4"/>
      <c r="BT45" s="45">
        <f t="shared" si="4"/>
        <v>0</v>
      </c>
      <c r="BU45" s="7"/>
      <c r="BW45" s="78"/>
      <c r="BX45" s="78"/>
    </row>
    <row r="46" spans="1:76" ht="15" hidden="1" thickBot="1" x14ac:dyDescent="0.35">
      <c r="A46" s="78"/>
      <c r="C46" s="6">
        <v>33</v>
      </c>
      <c r="D46" s="5" t="str">
        <f>IF(VLOOKUP(C46,DSNV!$C$8:$N$48,3,FALSE)=0,"",VLOOKUP(C46,DSNV!$C$8:$N$48,3,FALSE))</f>
        <v/>
      </c>
      <c r="E46" s="4" t="str">
        <f>IF(VLOOKUP(C46,DSNV!$C$8:$N$48,8,FALSE)="","",VLOOKUP(C46,DSNV!$C$8:$N$48,8,FALSE))</f>
        <v/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4">
        <f t="shared" si="2"/>
        <v>0</v>
      </c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4">
        <f t="shared" si="3"/>
        <v>0</v>
      </c>
      <c r="BR46" s="4"/>
      <c r="BS46" s="4"/>
      <c r="BT46" s="45">
        <f t="shared" si="4"/>
        <v>0</v>
      </c>
      <c r="BU46" s="7"/>
      <c r="BW46" s="78"/>
      <c r="BX46" s="78"/>
    </row>
    <row r="47" spans="1:76" ht="15" hidden="1" thickBot="1" x14ac:dyDescent="0.35">
      <c r="A47" s="78"/>
      <c r="C47" s="6">
        <v>34</v>
      </c>
      <c r="D47" s="5" t="str">
        <f>IF(VLOOKUP(C47,DSNV!$C$8:$N$48,3,FALSE)=0,"",VLOOKUP(C47,DSNV!$C$8:$N$48,3,FALSE))</f>
        <v/>
      </c>
      <c r="E47" s="4" t="str">
        <f>IF(VLOOKUP(C47,DSNV!$C$8:$N$48,8,FALSE)="","",VLOOKUP(C47,DSNV!$C$8:$N$48,8,FALSE))</f>
        <v/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4">
        <f t="shared" si="2"/>
        <v>0</v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4">
        <f t="shared" si="3"/>
        <v>0</v>
      </c>
      <c r="BR47" s="4"/>
      <c r="BS47" s="4"/>
      <c r="BT47" s="45">
        <f t="shared" si="4"/>
        <v>0</v>
      </c>
      <c r="BU47" s="7"/>
      <c r="BW47" s="78"/>
      <c r="BX47" s="78"/>
    </row>
    <row r="48" spans="1:76" ht="15" hidden="1" thickBot="1" x14ac:dyDescent="0.35">
      <c r="A48" s="78"/>
      <c r="C48" s="6">
        <v>35</v>
      </c>
      <c r="D48" s="5" t="str">
        <f>IF(VLOOKUP(C48,DSNV!$C$8:$N$48,3,FALSE)=0,"",VLOOKUP(C48,DSNV!$C$8:$N$48,3,FALSE))</f>
        <v/>
      </c>
      <c r="E48" s="4" t="str">
        <f>IF(VLOOKUP(C48,DSNV!$C$8:$N$48,8,FALSE)="","",VLOOKUP(C48,DSNV!$C$8:$N$48,8,FALSE))</f>
        <v/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4">
        <f t="shared" si="2"/>
        <v>0</v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4">
        <f t="shared" si="3"/>
        <v>0</v>
      </c>
      <c r="BR48" s="4"/>
      <c r="BS48" s="4"/>
      <c r="BT48" s="45">
        <f t="shared" si="4"/>
        <v>0</v>
      </c>
      <c r="BU48" s="7"/>
      <c r="BW48" s="78"/>
      <c r="BX48" s="78"/>
    </row>
    <row r="49" spans="1:76" ht="15" hidden="1" thickBot="1" x14ac:dyDescent="0.35">
      <c r="A49" s="78"/>
      <c r="C49" s="6">
        <v>36</v>
      </c>
      <c r="D49" s="5" t="str">
        <f>IF(VLOOKUP(C49,DSNV!$C$8:$N$48,3,FALSE)=0,"",VLOOKUP(C49,DSNV!$C$8:$N$48,3,FALSE))</f>
        <v/>
      </c>
      <c r="E49" s="4" t="str">
        <f>IF(VLOOKUP(C49,DSNV!$C$8:$N$48,8,FALSE)="","",VLOOKUP(C49,DSNV!$C$8:$N$48,8,FALSE))</f>
        <v/>
      </c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4">
        <f t="shared" si="2"/>
        <v>0</v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4">
        <f t="shared" si="3"/>
        <v>0</v>
      </c>
      <c r="BR49" s="4"/>
      <c r="BS49" s="4"/>
      <c r="BT49" s="45">
        <f t="shared" si="4"/>
        <v>0</v>
      </c>
      <c r="BU49" s="7"/>
      <c r="BW49" s="78"/>
      <c r="BX49" s="78"/>
    </row>
    <row r="50" spans="1:76" ht="15" hidden="1" thickBot="1" x14ac:dyDescent="0.35">
      <c r="A50" s="78"/>
      <c r="C50" s="6">
        <v>37</v>
      </c>
      <c r="D50" s="5" t="str">
        <f>IF(VLOOKUP(C50,DSNV!$C$8:$N$48,3,FALSE)=0,"",VLOOKUP(C50,DSNV!$C$8:$N$48,3,FALSE))</f>
        <v/>
      </c>
      <c r="E50" s="4" t="str">
        <f>IF(VLOOKUP(C50,DSNV!$C$8:$N$48,8,FALSE)="","",VLOOKUP(C50,DSNV!$C$8:$N$48,8,FALSE))</f>
        <v/>
      </c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4">
        <f t="shared" si="2"/>
        <v>0</v>
      </c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4">
        <f t="shared" si="3"/>
        <v>0</v>
      </c>
      <c r="BR50" s="4"/>
      <c r="BS50" s="4"/>
      <c r="BT50" s="45">
        <f t="shared" si="4"/>
        <v>0</v>
      </c>
      <c r="BU50" s="7"/>
      <c r="BW50" s="78"/>
      <c r="BX50" s="78"/>
    </row>
    <row r="51" spans="1:76" ht="15" hidden="1" thickBot="1" x14ac:dyDescent="0.35">
      <c r="A51" s="78"/>
      <c r="C51" s="6">
        <v>38</v>
      </c>
      <c r="D51" s="5" t="str">
        <f>IF(VLOOKUP(C51,DSNV!$C$8:$N$48,3,FALSE)=0,"",VLOOKUP(C51,DSNV!$C$8:$N$48,3,FALSE))</f>
        <v/>
      </c>
      <c r="E51" s="4" t="str">
        <f>IF(VLOOKUP(C51,DSNV!$C$8:$N$48,8,FALSE)="","",VLOOKUP(C51,DSNV!$C$8:$N$48,8,FALSE))</f>
        <v/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4">
        <f t="shared" si="2"/>
        <v>0</v>
      </c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4">
        <f t="shared" si="3"/>
        <v>0</v>
      </c>
      <c r="BR51" s="4"/>
      <c r="BS51" s="4"/>
      <c r="BT51" s="45">
        <f t="shared" si="4"/>
        <v>0</v>
      </c>
      <c r="BU51" s="7"/>
      <c r="BW51" s="78"/>
      <c r="BX51" s="78"/>
    </row>
    <row r="52" spans="1:76" ht="15" hidden="1" thickBot="1" x14ac:dyDescent="0.35">
      <c r="A52" s="78"/>
      <c r="C52" s="6">
        <v>39</v>
      </c>
      <c r="D52" s="5" t="str">
        <f>IF(VLOOKUP(C52,DSNV!$C$8:$N$48,3,FALSE)=0,"",VLOOKUP(C52,DSNV!$C$8:$N$48,3,FALSE))</f>
        <v/>
      </c>
      <c r="E52" s="4" t="str">
        <f>IF(VLOOKUP(C52,DSNV!$C$8:$N$48,8,FALSE)="","",VLOOKUP(C52,DSNV!$C$8:$N$48,8,FALSE))</f>
        <v/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4">
        <f t="shared" si="2"/>
        <v>0</v>
      </c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4">
        <f t="shared" si="3"/>
        <v>0</v>
      </c>
      <c r="BR52" s="4"/>
      <c r="BS52" s="4"/>
      <c r="BT52" s="45">
        <f t="shared" si="4"/>
        <v>0</v>
      </c>
      <c r="BU52" s="7"/>
      <c r="BW52" s="78"/>
      <c r="BX52" s="78"/>
    </row>
    <row r="53" spans="1:76" ht="15" hidden="1" thickBot="1" x14ac:dyDescent="0.35">
      <c r="A53" s="78"/>
      <c r="C53" s="14">
        <v>40</v>
      </c>
      <c r="D53" s="5" t="str">
        <f>IF(VLOOKUP(C53,DSNV!$C$8:$N$48,3,FALSE)=0,"",VLOOKUP(C53,DSNV!$C$8:$N$48,3,FALSE))</f>
        <v/>
      </c>
      <c r="E53" s="4" t="str">
        <f>IF(VLOOKUP(C53,DSNV!$C$8:$N$48,8,FALSE)="","",VLOOKUP(C53,DSNV!$C$8:$N$48,8,FALSE))</f>
        <v/>
      </c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4">
        <f t="shared" si="2"/>
        <v>0</v>
      </c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4">
        <f t="shared" si="3"/>
        <v>0</v>
      </c>
      <c r="BR53" s="4"/>
      <c r="BS53" s="4"/>
      <c r="BT53" s="45">
        <f t="shared" si="4"/>
        <v>0</v>
      </c>
      <c r="BU53" s="15"/>
      <c r="BW53" s="78"/>
      <c r="BX53" s="78"/>
    </row>
    <row r="54" spans="1:76" ht="15" thickBot="1" x14ac:dyDescent="0.35">
      <c r="A54" s="78"/>
      <c r="C54" s="121" t="s">
        <v>53</v>
      </c>
      <c r="D54" s="121"/>
      <c r="E54" s="121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37">
        <f>SUM(AK14:AK53)</f>
        <v>0</v>
      </c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37">
        <f>SUM(BQ14:BQ53)</f>
        <v>0</v>
      </c>
      <c r="BR54" s="37">
        <f t="shared" ref="BR54:BS54" si="7">SUM(BR14:BR53)</f>
        <v>0</v>
      </c>
      <c r="BS54" s="37">
        <f t="shared" si="7"/>
        <v>0</v>
      </c>
      <c r="BT54" s="37">
        <f>SUM(BT14:BT53)</f>
        <v>0</v>
      </c>
      <c r="BU54" s="17"/>
      <c r="BW54" s="78"/>
      <c r="BX54" s="78"/>
    </row>
    <row r="55" spans="1:76" x14ac:dyDescent="0.3">
      <c r="A55" s="78"/>
      <c r="BW55" s="78"/>
      <c r="BX55" s="78"/>
    </row>
    <row r="56" spans="1:76" x14ac:dyDescent="0.3">
      <c r="A56" s="78"/>
      <c r="BW56" s="78"/>
      <c r="BX56" s="78"/>
    </row>
    <row r="57" spans="1:76" x14ac:dyDescent="0.3">
      <c r="A57" s="78"/>
      <c r="B57" s="78"/>
      <c r="C57" s="77"/>
      <c r="D57" s="78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  <c r="AW57" s="77"/>
      <c r="AX57" s="77"/>
      <c r="AY57" s="77"/>
      <c r="AZ57" s="77"/>
      <c r="BA57" s="77"/>
      <c r="BB57" s="77"/>
      <c r="BC57" s="77"/>
      <c r="BD57" s="77"/>
      <c r="BE57" s="77"/>
      <c r="BF57" s="77"/>
      <c r="BG57" s="77"/>
      <c r="BH57" s="77"/>
      <c r="BI57" s="77"/>
      <c r="BJ57" s="77"/>
      <c r="BK57" s="77"/>
      <c r="BL57" s="77"/>
      <c r="BM57" s="77"/>
      <c r="BN57" s="77"/>
      <c r="BO57" s="77"/>
      <c r="BP57" s="77"/>
      <c r="BQ57" s="77"/>
      <c r="BR57" s="77"/>
      <c r="BS57" s="77"/>
      <c r="BT57" s="77"/>
      <c r="BU57" s="78"/>
      <c r="BV57" s="78"/>
      <c r="BW57" s="78"/>
      <c r="BX57" s="78"/>
    </row>
    <row r="58" spans="1:76" x14ac:dyDescent="0.3">
      <c r="A58" s="78"/>
      <c r="B58" s="78"/>
      <c r="C58" s="77"/>
      <c r="D58" s="78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7"/>
      <c r="AL58" s="77"/>
      <c r="AM58" s="77"/>
      <c r="AN58" s="77"/>
      <c r="AO58" s="77"/>
      <c r="AP58" s="77"/>
      <c r="AQ58" s="77"/>
      <c r="AR58" s="77"/>
      <c r="AS58" s="77"/>
      <c r="AT58" s="77"/>
      <c r="AU58" s="77"/>
      <c r="AV58" s="77"/>
      <c r="AW58" s="77"/>
      <c r="AX58" s="77"/>
      <c r="AY58" s="77"/>
      <c r="AZ58" s="77"/>
      <c r="BA58" s="77"/>
      <c r="BB58" s="77"/>
      <c r="BC58" s="77"/>
      <c r="BD58" s="77"/>
      <c r="BE58" s="77"/>
      <c r="BF58" s="77"/>
      <c r="BG58" s="77"/>
      <c r="BH58" s="77"/>
      <c r="BI58" s="77"/>
      <c r="BJ58" s="77"/>
      <c r="BK58" s="77"/>
      <c r="BL58" s="77"/>
      <c r="BM58" s="77"/>
      <c r="BN58" s="77"/>
      <c r="BO58" s="77"/>
      <c r="BP58" s="77"/>
      <c r="BQ58" s="77"/>
      <c r="BR58" s="77"/>
      <c r="BS58" s="77"/>
      <c r="BT58" s="77"/>
      <c r="BU58" s="78"/>
      <c r="BV58" s="78"/>
      <c r="BW58" s="78"/>
      <c r="BX58" s="78"/>
    </row>
    <row r="59" spans="1:76" x14ac:dyDescent="0.3">
      <c r="A59" s="78"/>
      <c r="B59" s="78"/>
      <c r="C59" s="77"/>
      <c r="D59" s="78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  <c r="AI59" s="77"/>
      <c r="AJ59" s="77"/>
      <c r="AK59" s="77"/>
      <c r="AL59" s="77"/>
      <c r="AM59" s="77"/>
      <c r="AN59" s="77"/>
      <c r="AO59" s="77"/>
      <c r="AP59" s="77"/>
      <c r="AQ59" s="77"/>
      <c r="AR59" s="77"/>
      <c r="AS59" s="77"/>
      <c r="AT59" s="77"/>
      <c r="AU59" s="77"/>
      <c r="AV59" s="77"/>
      <c r="AW59" s="77"/>
      <c r="AX59" s="77"/>
      <c r="AY59" s="77"/>
      <c r="AZ59" s="77"/>
      <c r="BA59" s="77"/>
      <c r="BB59" s="77"/>
      <c r="BC59" s="77"/>
      <c r="BD59" s="77"/>
      <c r="BE59" s="77"/>
      <c r="BF59" s="77"/>
      <c r="BG59" s="77"/>
      <c r="BH59" s="77"/>
      <c r="BI59" s="77"/>
      <c r="BJ59" s="77"/>
      <c r="BK59" s="77"/>
      <c r="BL59" s="77"/>
      <c r="BM59" s="77"/>
      <c r="BN59" s="77"/>
      <c r="BO59" s="77"/>
      <c r="BP59" s="77"/>
      <c r="BQ59" s="77"/>
      <c r="BR59" s="77"/>
      <c r="BS59" s="77"/>
      <c r="BT59" s="77"/>
      <c r="BU59" s="78"/>
      <c r="BV59" s="78"/>
      <c r="BW59" s="78"/>
      <c r="BX59" s="78"/>
    </row>
  </sheetData>
  <autoFilter ref="C11:BU54" xr:uid="{5B728C7B-9475-4B02-8B4D-6C91ABA364A6}"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</autoFilter>
  <mergeCells count="12">
    <mergeCell ref="BQ11:BQ13"/>
    <mergeCell ref="BT11:BT13"/>
    <mergeCell ref="BU11:BU13"/>
    <mergeCell ref="C54:E54"/>
    <mergeCell ref="BR11:BR13"/>
    <mergeCell ref="BS11:BS13"/>
    <mergeCell ref="C11:C13"/>
    <mergeCell ref="D11:D13"/>
    <mergeCell ref="E11:E13"/>
    <mergeCell ref="F11:AJ11"/>
    <mergeCell ref="AK11:AK13"/>
    <mergeCell ref="AL11:BP11"/>
  </mergeCells>
  <conditionalFormatting sqref="F12:AJ54 AL12:BP54">
    <cfRule type="expression" dxfId="13" priority="3">
      <formula>OR(WEEKDAY($D$1+F$12)=1,WEEKDAY($D$1+F$12)=7)</formula>
    </cfRule>
  </conditionalFormatting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BDE88-54EB-4A05-83B4-654084EA1A02}">
  <sheetPr codeName="Sheet16"/>
  <dimension ref="A1:BX59"/>
  <sheetViews>
    <sheetView showGridLines="0" showRowColHeaders="0" workbookViewId="0">
      <pane xSplit="5" ySplit="13" topLeftCell="F14" activePane="bottomRight" state="frozen"/>
      <selection pane="topRight" activeCell="F1" sqref="F1"/>
      <selection pane="bottomLeft" activeCell="A14" sqref="A14"/>
      <selection pane="bottomRight"/>
    </sheetView>
  </sheetViews>
  <sheetFormatPr defaultColWidth="0" defaultRowHeight="14.4" zeroHeight="1" x14ac:dyDescent="0.3"/>
  <cols>
    <col min="1" max="1" width="8.88671875" style="2" customWidth="1"/>
    <col min="2" max="2" width="3.33203125" style="2" customWidth="1"/>
    <col min="3" max="3" width="5.21875" style="3" customWidth="1"/>
    <col min="4" max="4" width="23" style="2" bestFit="1" customWidth="1"/>
    <col min="5" max="5" width="12" style="3" customWidth="1"/>
    <col min="6" max="36" width="3.44140625" style="3" bestFit="1" customWidth="1"/>
    <col min="37" max="37" width="6.77734375" style="3" customWidth="1"/>
    <col min="38" max="68" width="3.44140625" style="3" bestFit="1" customWidth="1"/>
    <col min="69" max="72" width="6.77734375" style="3" customWidth="1"/>
    <col min="73" max="73" width="9.88671875" style="2" customWidth="1"/>
    <col min="74" max="74" width="3.33203125" style="2" customWidth="1"/>
    <col min="75" max="75" width="8.88671875" style="78" customWidth="1"/>
    <col min="76" max="76" width="8.88671875" style="78" hidden="1" customWidth="1"/>
    <col min="77" max="16384" width="8.88671875" style="2" hidden="1"/>
  </cols>
  <sheetData>
    <row r="1" spans="1:74" s="104" customFormat="1" x14ac:dyDescent="0.3">
      <c r="C1" s="105"/>
      <c r="D1" s="106">
        <f>D2-1</f>
        <v>44530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</row>
    <row r="2" spans="1:74" s="104" customFormat="1" x14ac:dyDescent="0.3">
      <c r="C2" s="105"/>
      <c r="D2" s="107" t="str">
        <f>"01/12/"&amp;E9</f>
        <v>01/12/2021</v>
      </c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105"/>
      <c r="BP2" s="105"/>
      <c r="BQ2" s="105"/>
      <c r="BR2" s="105"/>
      <c r="BS2" s="105"/>
      <c r="BT2" s="105"/>
    </row>
    <row r="3" spans="1:74" s="110" customFormat="1" x14ac:dyDescent="0.3">
      <c r="C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1"/>
      <c r="AU3" s="111"/>
      <c r="AV3" s="111"/>
      <c r="AW3" s="111"/>
      <c r="AX3" s="111"/>
      <c r="AY3" s="111"/>
      <c r="AZ3" s="111"/>
      <c r="BA3" s="111"/>
      <c r="BB3" s="111"/>
      <c r="BC3" s="111"/>
      <c r="BD3" s="111"/>
      <c r="BE3" s="111"/>
      <c r="BF3" s="111"/>
      <c r="BG3" s="111"/>
      <c r="BH3" s="111"/>
      <c r="BI3" s="111"/>
      <c r="BJ3" s="111"/>
      <c r="BK3" s="111"/>
      <c r="BL3" s="111"/>
      <c r="BM3" s="111"/>
      <c r="BN3" s="111"/>
      <c r="BO3" s="111"/>
      <c r="BP3" s="111"/>
      <c r="BQ3" s="111"/>
      <c r="BR3" s="111"/>
      <c r="BS3" s="111"/>
      <c r="BT3" s="111"/>
    </row>
    <row r="4" spans="1:74" x14ac:dyDescent="0.3">
      <c r="A4" s="78"/>
      <c r="B4" s="78"/>
      <c r="C4" s="77"/>
      <c r="D4" s="79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  <c r="BC4" s="77"/>
      <c r="BD4" s="77"/>
      <c r="BE4" s="77"/>
      <c r="BF4" s="77"/>
      <c r="BG4" s="77"/>
      <c r="BH4" s="77"/>
      <c r="BI4" s="77"/>
      <c r="BJ4" s="77"/>
      <c r="BK4" s="77"/>
      <c r="BL4" s="77"/>
      <c r="BM4" s="77"/>
      <c r="BN4" s="77"/>
      <c r="BO4" s="77"/>
      <c r="BP4" s="77"/>
      <c r="BQ4" s="77"/>
      <c r="BR4" s="77"/>
      <c r="BS4" s="77"/>
      <c r="BT4" s="77"/>
      <c r="BU4" s="78"/>
      <c r="BV4" s="78"/>
    </row>
    <row r="5" spans="1:74" x14ac:dyDescent="0.3">
      <c r="A5" s="78"/>
    </row>
    <row r="6" spans="1:74" x14ac:dyDescent="0.3">
      <c r="A6" s="78"/>
      <c r="D6" s="41" t="s">
        <v>49</v>
      </c>
      <c r="E6" s="42">
        <f>COUNTIFS(F13:AJ13,"&gt;1",F13:AJ13,"&lt;7")</f>
        <v>23</v>
      </c>
    </row>
    <row r="7" spans="1:74" x14ac:dyDescent="0.3">
      <c r="A7" s="78"/>
      <c r="C7" s="1"/>
      <c r="D7" s="1"/>
    </row>
    <row r="8" spans="1:74" ht="25.8" x14ac:dyDescent="0.5">
      <c r="A8" s="78"/>
      <c r="D8" s="39" t="s">
        <v>50</v>
      </c>
      <c r="E8" s="39"/>
    </row>
    <row r="9" spans="1:74" x14ac:dyDescent="0.3">
      <c r="A9" s="78"/>
      <c r="D9" s="40" t="s">
        <v>98</v>
      </c>
      <c r="E9" s="1">
        <v>2021</v>
      </c>
    </row>
    <row r="10" spans="1:74" x14ac:dyDescent="0.3">
      <c r="A10" s="78"/>
    </row>
    <row r="11" spans="1:74" ht="13.8" customHeight="1" x14ac:dyDescent="0.3">
      <c r="A11" s="78"/>
      <c r="C11" s="120" t="s">
        <v>1</v>
      </c>
      <c r="D11" s="120" t="s">
        <v>2</v>
      </c>
      <c r="E11" s="120" t="s">
        <v>6</v>
      </c>
      <c r="F11" s="120" t="s">
        <v>51</v>
      </c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/>
      <c r="AK11" s="119" t="s">
        <v>54</v>
      </c>
      <c r="AL11" s="120" t="s">
        <v>52</v>
      </c>
      <c r="AM11" s="120"/>
      <c r="AN11" s="120"/>
      <c r="AO11" s="120"/>
      <c r="AP11" s="120"/>
      <c r="AQ11" s="120"/>
      <c r="AR11" s="120"/>
      <c r="AS11" s="120"/>
      <c r="AT11" s="120"/>
      <c r="AU11" s="120"/>
      <c r="AV11" s="120"/>
      <c r="AW11" s="120"/>
      <c r="AX11" s="120"/>
      <c r="AY11" s="120"/>
      <c r="AZ11" s="120"/>
      <c r="BA11" s="120"/>
      <c r="BB11" s="120"/>
      <c r="BC11" s="120"/>
      <c r="BD11" s="120"/>
      <c r="BE11" s="120"/>
      <c r="BF11" s="120"/>
      <c r="BG11" s="120"/>
      <c r="BH11" s="120"/>
      <c r="BI11" s="120"/>
      <c r="BJ11" s="120"/>
      <c r="BK11" s="120"/>
      <c r="BL11" s="120"/>
      <c r="BM11" s="120"/>
      <c r="BN11" s="120"/>
      <c r="BO11" s="120"/>
      <c r="BP11" s="120"/>
      <c r="BQ11" s="119" t="s">
        <v>112</v>
      </c>
      <c r="BR11" s="122" t="s">
        <v>113</v>
      </c>
      <c r="BS11" s="122" t="s">
        <v>114</v>
      </c>
      <c r="BT11" s="119" t="s">
        <v>53</v>
      </c>
      <c r="BU11" s="120" t="s">
        <v>8</v>
      </c>
    </row>
    <row r="12" spans="1:74" x14ac:dyDescent="0.3">
      <c r="A12" s="78"/>
      <c r="C12" s="120"/>
      <c r="D12" s="120"/>
      <c r="E12" s="120"/>
      <c r="F12" s="18">
        <v>1</v>
      </c>
      <c r="G12" s="18">
        <v>2</v>
      </c>
      <c r="H12" s="18">
        <v>3</v>
      </c>
      <c r="I12" s="18">
        <v>4</v>
      </c>
      <c r="J12" s="18">
        <v>5</v>
      </c>
      <c r="K12" s="18">
        <v>6</v>
      </c>
      <c r="L12" s="18">
        <v>7</v>
      </c>
      <c r="M12" s="18">
        <v>8</v>
      </c>
      <c r="N12" s="18">
        <v>9</v>
      </c>
      <c r="O12" s="18">
        <v>10</v>
      </c>
      <c r="P12" s="18">
        <v>11</v>
      </c>
      <c r="Q12" s="18">
        <v>12</v>
      </c>
      <c r="R12" s="18">
        <v>13</v>
      </c>
      <c r="S12" s="18">
        <v>14</v>
      </c>
      <c r="T12" s="18">
        <v>15</v>
      </c>
      <c r="U12" s="18">
        <v>16</v>
      </c>
      <c r="V12" s="18">
        <v>17</v>
      </c>
      <c r="W12" s="18">
        <v>18</v>
      </c>
      <c r="X12" s="18">
        <v>19</v>
      </c>
      <c r="Y12" s="18">
        <v>20</v>
      </c>
      <c r="Z12" s="18">
        <v>21</v>
      </c>
      <c r="AA12" s="18">
        <v>22</v>
      </c>
      <c r="AB12" s="18">
        <v>23</v>
      </c>
      <c r="AC12" s="18">
        <v>24</v>
      </c>
      <c r="AD12" s="18">
        <v>25</v>
      </c>
      <c r="AE12" s="18">
        <v>26</v>
      </c>
      <c r="AF12" s="18">
        <v>27</v>
      </c>
      <c r="AG12" s="18">
        <v>28</v>
      </c>
      <c r="AH12" s="18">
        <v>29</v>
      </c>
      <c r="AI12" s="18">
        <v>30</v>
      </c>
      <c r="AJ12" s="18">
        <v>31</v>
      </c>
      <c r="AK12" s="119"/>
      <c r="AL12" s="18">
        <v>1</v>
      </c>
      <c r="AM12" s="18">
        <v>2</v>
      </c>
      <c r="AN12" s="18">
        <v>3</v>
      </c>
      <c r="AO12" s="18">
        <v>4</v>
      </c>
      <c r="AP12" s="18">
        <v>5</v>
      </c>
      <c r="AQ12" s="18">
        <v>6</v>
      </c>
      <c r="AR12" s="18">
        <v>7</v>
      </c>
      <c r="AS12" s="18">
        <v>8</v>
      </c>
      <c r="AT12" s="18">
        <v>9</v>
      </c>
      <c r="AU12" s="18">
        <v>10</v>
      </c>
      <c r="AV12" s="18">
        <v>11</v>
      </c>
      <c r="AW12" s="18">
        <v>12</v>
      </c>
      <c r="AX12" s="18">
        <v>13</v>
      </c>
      <c r="AY12" s="18">
        <v>14</v>
      </c>
      <c r="AZ12" s="18">
        <v>15</v>
      </c>
      <c r="BA12" s="18">
        <v>16</v>
      </c>
      <c r="BB12" s="18">
        <v>17</v>
      </c>
      <c r="BC12" s="18">
        <v>18</v>
      </c>
      <c r="BD12" s="18">
        <v>19</v>
      </c>
      <c r="BE12" s="18">
        <v>20</v>
      </c>
      <c r="BF12" s="18">
        <v>21</v>
      </c>
      <c r="BG12" s="18">
        <v>22</v>
      </c>
      <c r="BH12" s="18">
        <v>23</v>
      </c>
      <c r="BI12" s="18">
        <v>24</v>
      </c>
      <c r="BJ12" s="18">
        <v>25</v>
      </c>
      <c r="BK12" s="18">
        <v>26</v>
      </c>
      <c r="BL12" s="18">
        <v>27</v>
      </c>
      <c r="BM12" s="18">
        <v>28</v>
      </c>
      <c r="BN12" s="18">
        <v>29</v>
      </c>
      <c r="BO12" s="18">
        <v>30</v>
      </c>
      <c r="BP12" s="18">
        <v>31</v>
      </c>
      <c r="BQ12" s="119"/>
      <c r="BR12" s="123"/>
      <c r="BS12" s="123"/>
      <c r="BT12" s="119"/>
      <c r="BU12" s="120"/>
    </row>
    <row r="13" spans="1:74" ht="25.8" x14ac:dyDescent="0.3">
      <c r="A13" s="78"/>
      <c r="C13" s="120"/>
      <c r="D13" s="120"/>
      <c r="E13" s="120"/>
      <c r="F13" s="38">
        <f>WEEKDAY($D$1+F12)</f>
        <v>4</v>
      </c>
      <c r="G13" s="38">
        <f t="shared" ref="G13:AJ13" si="0">WEEKDAY($D$1+G12)</f>
        <v>5</v>
      </c>
      <c r="H13" s="38">
        <f t="shared" si="0"/>
        <v>6</v>
      </c>
      <c r="I13" s="38">
        <f t="shared" si="0"/>
        <v>7</v>
      </c>
      <c r="J13" s="38">
        <f t="shared" si="0"/>
        <v>1</v>
      </c>
      <c r="K13" s="38">
        <f t="shared" si="0"/>
        <v>2</v>
      </c>
      <c r="L13" s="38">
        <f t="shared" si="0"/>
        <v>3</v>
      </c>
      <c r="M13" s="38">
        <f t="shared" si="0"/>
        <v>4</v>
      </c>
      <c r="N13" s="38">
        <f t="shared" si="0"/>
        <v>5</v>
      </c>
      <c r="O13" s="38">
        <f t="shared" si="0"/>
        <v>6</v>
      </c>
      <c r="P13" s="38">
        <f t="shared" si="0"/>
        <v>7</v>
      </c>
      <c r="Q13" s="38">
        <f t="shared" si="0"/>
        <v>1</v>
      </c>
      <c r="R13" s="38">
        <f t="shared" si="0"/>
        <v>2</v>
      </c>
      <c r="S13" s="38">
        <f t="shared" si="0"/>
        <v>3</v>
      </c>
      <c r="T13" s="38">
        <f t="shared" si="0"/>
        <v>4</v>
      </c>
      <c r="U13" s="38">
        <f t="shared" si="0"/>
        <v>5</v>
      </c>
      <c r="V13" s="38">
        <f t="shared" si="0"/>
        <v>6</v>
      </c>
      <c r="W13" s="38">
        <f t="shared" si="0"/>
        <v>7</v>
      </c>
      <c r="X13" s="38">
        <f t="shared" si="0"/>
        <v>1</v>
      </c>
      <c r="Y13" s="38">
        <f t="shared" si="0"/>
        <v>2</v>
      </c>
      <c r="Z13" s="38">
        <f t="shared" si="0"/>
        <v>3</v>
      </c>
      <c r="AA13" s="38">
        <f t="shared" si="0"/>
        <v>4</v>
      </c>
      <c r="AB13" s="38">
        <f t="shared" si="0"/>
        <v>5</v>
      </c>
      <c r="AC13" s="38">
        <f t="shared" si="0"/>
        <v>6</v>
      </c>
      <c r="AD13" s="38">
        <f t="shared" si="0"/>
        <v>7</v>
      </c>
      <c r="AE13" s="38">
        <f t="shared" si="0"/>
        <v>1</v>
      </c>
      <c r="AF13" s="38">
        <f t="shared" si="0"/>
        <v>2</v>
      </c>
      <c r="AG13" s="38">
        <f t="shared" si="0"/>
        <v>3</v>
      </c>
      <c r="AH13" s="38">
        <f t="shared" si="0"/>
        <v>4</v>
      </c>
      <c r="AI13" s="38">
        <f t="shared" si="0"/>
        <v>5</v>
      </c>
      <c r="AJ13" s="38">
        <f t="shared" si="0"/>
        <v>6</v>
      </c>
      <c r="AK13" s="119"/>
      <c r="AL13" s="38">
        <f>WEEKDAY($D$1+AL12)</f>
        <v>4</v>
      </c>
      <c r="AM13" s="38">
        <f t="shared" ref="AM13:BP13" si="1">WEEKDAY($D$1+AM12)</f>
        <v>5</v>
      </c>
      <c r="AN13" s="38">
        <f t="shared" si="1"/>
        <v>6</v>
      </c>
      <c r="AO13" s="38">
        <f t="shared" si="1"/>
        <v>7</v>
      </c>
      <c r="AP13" s="38">
        <f t="shared" si="1"/>
        <v>1</v>
      </c>
      <c r="AQ13" s="38">
        <f t="shared" si="1"/>
        <v>2</v>
      </c>
      <c r="AR13" s="38">
        <f t="shared" si="1"/>
        <v>3</v>
      </c>
      <c r="AS13" s="38">
        <f t="shared" si="1"/>
        <v>4</v>
      </c>
      <c r="AT13" s="38">
        <f t="shared" si="1"/>
        <v>5</v>
      </c>
      <c r="AU13" s="38">
        <f t="shared" si="1"/>
        <v>6</v>
      </c>
      <c r="AV13" s="38">
        <f t="shared" si="1"/>
        <v>7</v>
      </c>
      <c r="AW13" s="38">
        <f t="shared" si="1"/>
        <v>1</v>
      </c>
      <c r="AX13" s="38">
        <f t="shared" si="1"/>
        <v>2</v>
      </c>
      <c r="AY13" s="38">
        <f t="shared" si="1"/>
        <v>3</v>
      </c>
      <c r="AZ13" s="38">
        <f t="shared" si="1"/>
        <v>4</v>
      </c>
      <c r="BA13" s="38">
        <f t="shared" si="1"/>
        <v>5</v>
      </c>
      <c r="BB13" s="38">
        <f t="shared" si="1"/>
        <v>6</v>
      </c>
      <c r="BC13" s="38">
        <f t="shared" si="1"/>
        <v>7</v>
      </c>
      <c r="BD13" s="38">
        <f t="shared" si="1"/>
        <v>1</v>
      </c>
      <c r="BE13" s="38">
        <f t="shared" si="1"/>
        <v>2</v>
      </c>
      <c r="BF13" s="38">
        <f t="shared" si="1"/>
        <v>3</v>
      </c>
      <c r="BG13" s="38">
        <f t="shared" si="1"/>
        <v>4</v>
      </c>
      <c r="BH13" s="38">
        <f t="shared" si="1"/>
        <v>5</v>
      </c>
      <c r="BI13" s="38">
        <f t="shared" si="1"/>
        <v>6</v>
      </c>
      <c r="BJ13" s="38">
        <f t="shared" si="1"/>
        <v>7</v>
      </c>
      <c r="BK13" s="38">
        <f t="shared" si="1"/>
        <v>1</v>
      </c>
      <c r="BL13" s="38">
        <f t="shared" si="1"/>
        <v>2</v>
      </c>
      <c r="BM13" s="38">
        <f t="shared" si="1"/>
        <v>3</v>
      </c>
      <c r="BN13" s="38">
        <f t="shared" si="1"/>
        <v>4</v>
      </c>
      <c r="BO13" s="38">
        <f t="shared" si="1"/>
        <v>5</v>
      </c>
      <c r="BP13" s="38">
        <f t="shared" si="1"/>
        <v>6</v>
      </c>
      <c r="BQ13" s="119"/>
      <c r="BR13" s="124"/>
      <c r="BS13" s="124"/>
      <c r="BT13" s="119"/>
      <c r="BU13" s="120"/>
    </row>
    <row r="14" spans="1:74" x14ac:dyDescent="0.3">
      <c r="A14" s="78"/>
      <c r="C14" s="4">
        <v>1</v>
      </c>
      <c r="D14" s="5" t="str">
        <f>IF(VLOOKUP(C14,DSNV!$C$8:$N$48,3,FALSE)=0,"",VLOOKUP(C14,DSNV!$C$8:$N$48,3,FALSE))</f>
        <v>Nguyễn Võ Như Bình</v>
      </c>
      <c r="E14" s="4" t="str">
        <f>IF(VLOOKUP(C14,DSNV!$C$8:$N$48,8,FALSE)="","",VLOOKUP(C14,DSNV!$C$8:$N$48,8,FALSE))</f>
        <v>Thành viên</v>
      </c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>
        <f>SUM(F14:AJ14)</f>
        <v>0</v>
      </c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>
        <f>SUM(AL14:BP14)</f>
        <v>0</v>
      </c>
      <c r="BR14" s="4"/>
      <c r="BS14" s="4"/>
      <c r="BT14" s="45">
        <f>SUM(AK14,BQ14:BS14)</f>
        <v>0</v>
      </c>
      <c r="BU14" s="5"/>
    </row>
    <row r="15" spans="1:74" x14ac:dyDescent="0.3">
      <c r="A15" s="78"/>
      <c r="C15" s="6">
        <v>2</v>
      </c>
      <c r="D15" s="5" t="str">
        <f>IF(VLOOKUP(C15,DSNV!$C$8:$N$48,3,FALSE)=0,"",VLOOKUP(C15,DSNV!$C$8:$N$48,3,FALSE))</f>
        <v>Võ Khánh Đoan</v>
      </c>
      <c r="E15" s="4" t="str">
        <f>IF(VLOOKUP(C15,DSNV!$C$8:$N$48,8,FALSE)="","",VLOOKUP(C15,DSNV!$C$8:$N$48,8,FALSE))</f>
        <v>Thành viên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4">
        <f t="shared" ref="AK15:AK53" si="2">SUM(F15:AJ15)</f>
        <v>0</v>
      </c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4">
        <f t="shared" ref="BQ15:BQ53" si="3">SUM(AL15:BP15)</f>
        <v>0</v>
      </c>
      <c r="BR15" s="4"/>
      <c r="BS15" s="4"/>
      <c r="BT15" s="45">
        <f t="shared" ref="BT15:BT53" si="4">SUM(AK15,BQ15:BS15)</f>
        <v>0</v>
      </c>
      <c r="BU15" s="7"/>
    </row>
    <row r="16" spans="1:74" x14ac:dyDescent="0.3">
      <c r="A16" s="78"/>
      <c r="C16" s="6">
        <v>3</v>
      </c>
      <c r="D16" s="5" t="str">
        <f>IF(VLOOKUP(C16,DSNV!$C$8:$N$48,3,FALSE)=0,"",VLOOKUP(C16,DSNV!$C$8:$N$48,3,FALSE))</f>
        <v>Nguyễn Thu Hà</v>
      </c>
      <c r="E16" s="4" t="str">
        <f>IF(VLOOKUP(C16,DSNV!$C$8:$N$48,8,FALSE)="","",VLOOKUP(C16,DSNV!$C$8:$N$48,8,FALSE))</f>
        <v>Thành viên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4">
        <f t="shared" si="2"/>
        <v>0</v>
      </c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4">
        <f t="shared" si="3"/>
        <v>0</v>
      </c>
      <c r="BR16" s="4"/>
      <c r="BS16" s="4"/>
      <c r="BT16" s="45">
        <f t="shared" si="4"/>
        <v>0</v>
      </c>
      <c r="BU16" s="7"/>
    </row>
    <row r="17" spans="1:73" x14ac:dyDescent="0.3">
      <c r="A17" s="78"/>
      <c r="C17" s="6">
        <v>4</v>
      </c>
      <c r="D17" s="5" t="str">
        <f>IF(VLOOKUP(C17,DSNV!$C$8:$N$48,3,FALSE)=0,"",VLOOKUP(C17,DSNV!$C$8:$N$48,3,FALSE))</f>
        <v>Trương Thị Phú Hiệp</v>
      </c>
      <c r="E17" s="4" t="str">
        <f>IF(VLOOKUP(C17,DSNV!$C$8:$N$48,8,FALSE)="","",VLOOKUP(C17,DSNV!$C$8:$N$48,8,FALSE))</f>
        <v>Thành viên</v>
      </c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4">
        <f t="shared" si="2"/>
        <v>0</v>
      </c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4">
        <f t="shared" si="3"/>
        <v>0</v>
      </c>
      <c r="BR17" s="4"/>
      <c r="BS17" s="4"/>
      <c r="BT17" s="45">
        <f t="shared" si="4"/>
        <v>0</v>
      </c>
      <c r="BU17" s="7"/>
    </row>
    <row r="18" spans="1:73" x14ac:dyDescent="0.3">
      <c r="A18" s="78"/>
      <c r="C18" s="6">
        <v>5</v>
      </c>
      <c r="D18" s="5" t="str">
        <f>IF(VLOOKUP(C18,DSNV!$C$8:$N$48,3,FALSE)=0,"",VLOOKUP(C18,DSNV!$C$8:$N$48,3,FALSE))</f>
        <v>Nguyễn Thị Bích Hồng</v>
      </c>
      <c r="E18" s="4" t="str">
        <f>IF(VLOOKUP(C18,DSNV!$C$8:$N$48,8,FALSE)="","",VLOOKUP(C18,DSNV!$C$8:$N$48,8,FALSE))</f>
        <v>Thành viên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4">
        <f t="shared" si="2"/>
        <v>0</v>
      </c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4">
        <f t="shared" si="3"/>
        <v>0</v>
      </c>
      <c r="BR18" s="4"/>
      <c r="BS18" s="4"/>
      <c r="BT18" s="45">
        <f t="shared" si="4"/>
        <v>0</v>
      </c>
      <c r="BU18" s="7"/>
    </row>
    <row r="19" spans="1:73" x14ac:dyDescent="0.3">
      <c r="A19" s="78"/>
      <c r="C19" s="6">
        <v>6</v>
      </c>
      <c r="D19" s="5" t="str">
        <f>IF(VLOOKUP(C19,DSNV!$C$8:$N$48,3,FALSE)=0,"",VLOOKUP(C19,DSNV!$C$8:$N$48,3,FALSE))</f>
        <v>Phạm Thị Ngọc Hồng</v>
      </c>
      <c r="E19" s="4" t="str">
        <f>IF(VLOOKUP(C19,DSNV!$C$8:$N$48,8,FALSE)="","",VLOOKUP(C19,DSNV!$C$8:$N$48,8,FALSE))</f>
        <v>Thành viên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4">
        <f t="shared" si="2"/>
        <v>0</v>
      </c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4">
        <f t="shared" si="3"/>
        <v>0</v>
      </c>
      <c r="BR19" s="4">
        <f>BQ19/2</f>
        <v>0</v>
      </c>
      <c r="BS19" s="4"/>
      <c r="BT19" s="45">
        <f t="shared" si="4"/>
        <v>0</v>
      </c>
      <c r="BU19" s="7"/>
    </row>
    <row r="20" spans="1:73" x14ac:dyDescent="0.3">
      <c r="A20" s="78"/>
      <c r="C20" s="6">
        <v>7</v>
      </c>
      <c r="D20" s="5" t="str">
        <f>IF(VLOOKUP(C20,DSNV!$C$8:$N$48,3,FALSE)=0,"",VLOOKUP(C20,DSNV!$C$8:$N$48,3,FALSE))</f>
        <v>Phạm Thị Huệ</v>
      </c>
      <c r="E20" s="4" t="str">
        <f>IF(VLOOKUP(C20,DSNV!$C$8:$N$48,8,FALSE)="","",VLOOKUP(C20,DSNV!$C$8:$N$48,8,FALSE))</f>
        <v>Trưởng ban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4">
        <f t="shared" si="2"/>
        <v>0</v>
      </c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4">
        <f t="shared" si="3"/>
        <v>0</v>
      </c>
      <c r="BR20" s="4">
        <f t="shared" ref="BR20:BR21" si="5">BQ20/2</f>
        <v>0</v>
      </c>
      <c r="BS20" s="4"/>
      <c r="BT20" s="45">
        <f t="shared" si="4"/>
        <v>0</v>
      </c>
      <c r="BU20" s="7" t="s">
        <v>166</v>
      </c>
    </row>
    <row r="21" spans="1:73" x14ac:dyDescent="0.3">
      <c r="A21" s="78"/>
      <c r="C21" s="6">
        <v>8</v>
      </c>
      <c r="D21" s="5" t="str">
        <f>IF(VLOOKUP(C21,DSNV!$C$8:$N$48,3,FALSE)=0,"",VLOOKUP(C21,DSNV!$C$8:$N$48,3,FALSE))</f>
        <v>Nguyễn Thị Quỳnh Hương</v>
      </c>
      <c r="E21" s="4" t="str">
        <f>IF(VLOOKUP(C21,DSNV!$C$8:$N$48,8,FALSE)="","",VLOOKUP(C21,DSNV!$C$8:$N$48,8,FALSE))</f>
        <v>Trưởng ban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4">
        <f t="shared" si="2"/>
        <v>0</v>
      </c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4">
        <f t="shared" si="3"/>
        <v>0</v>
      </c>
      <c r="BR21" s="4">
        <f t="shared" si="5"/>
        <v>0</v>
      </c>
      <c r="BS21" s="4"/>
      <c r="BT21" s="45">
        <f t="shared" si="4"/>
        <v>0</v>
      </c>
      <c r="BU21" s="7"/>
    </row>
    <row r="22" spans="1:73" x14ac:dyDescent="0.3">
      <c r="A22" s="78"/>
      <c r="C22" s="6">
        <v>9</v>
      </c>
      <c r="D22" s="5" t="str">
        <f>IF(VLOOKUP(C22,DSNV!$C$8:$N$48,3,FALSE)=0,"",VLOOKUP(C22,DSNV!$C$8:$N$48,3,FALSE))</f>
        <v>Huỳnh Thanh Huyên</v>
      </c>
      <c r="E22" s="4" t="str">
        <f>IF(VLOOKUP(C22,DSNV!$C$8:$N$48,8,FALSE)="","",VLOOKUP(C22,DSNV!$C$8:$N$48,8,FALSE))</f>
        <v>Thành viên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4">
        <f t="shared" si="2"/>
        <v>0</v>
      </c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4">
        <f t="shared" si="3"/>
        <v>0</v>
      </c>
      <c r="BR22" s="4"/>
      <c r="BS22" s="4"/>
      <c r="BT22" s="45">
        <f t="shared" si="4"/>
        <v>0</v>
      </c>
      <c r="BU22" s="7"/>
    </row>
    <row r="23" spans="1:73" x14ac:dyDescent="0.3">
      <c r="A23" s="78"/>
      <c r="C23" s="6">
        <v>10</v>
      </c>
      <c r="D23" s="5" t="str">
        <f>IF(VLOOKUP(C23,DSNV!$C$8:$N$48,3,FALSE)=0,"",VLOOKUP(C23,DSNV!$C$8:$N$48,3,FALSE))</f>
        <v>Lê Hữu Di Mi</v>
      </c>
      <c r="E23" s="4" t="str">
        <f>IF(VLOOKUP(C23,DSNV!$C$8:$N$48,8,FALSE)="","",VLOOKUP(C23,DSNV!$C$8:$N$48,8,FALSE))</f>
        <v>Thành viên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4">
        <f t="shared" si="2"/>
        <v>0</v>
      </c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4">
        <f t="shared" si="3"/>
        <v>0</v>
      </c>
      <c r="BR23" s="4"/>
      <c r="BS23" s="4"/>
      <c r="BT23" s="45">
        <f t="shared" si="4"/>
        <v>0</v>
      </c>
      <c r="BU23" s="7"/>
    </row>
    <row r="24" spans="1:73" x14ac:dyDescent="0.3">
      <c r="A24" s="78"/>
      <c r="C24" s="6">
        <v>11</v>
      </c>
      <c r="D24" s="5" t="str">
        <f>IF(VLOOKUP(C24,DSNV!$C$8:$N$48,3,FALSE)=0,"",VLOOKUP(C24,DSNV!$C$8:$N$48,3,FALSE))</f>
        <v>Nguyễn Nhựt Minh</v>
      </c>
      <c r="E24" s="4" t="str">
        <f>IF(VLOOKUP(C24,DSNV!$C$8:$N$48,8,FALSE)="","",VLOOKUP(C24,DSNV!$C$8:$N$48,8,FALSE))</f>
        <v>Trưởng ban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4">
        <f t="shared" si="2"/>
        <v>0</v>
      </c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4">
        <f t="shared" si="3"/>
        <v>0</v>
      </c>
      <c r="BR24" s="4">
        <f>BQ24/2</f>
        <v>0</v>
      </c>
      <c r="BS24" s="4"/>
      <c r="BT24" s="45">
        <f t="shared" si="4"/>
        <v>0</v>
      </c>
      <c r="BU24" s="7"/>
    </row>
    <row r="25" spans="1:73" x14ac:dyDescent="0.3">
      <c r="A25" s="78"/>
      <c r="C25" s="6">
        <v>12</v>
      </c>
      <c r="D25" s="5" t="str">
        <f>IF(VLOOKUP(C25,DSNV!$C$8:$N$48,3,FALSE)=0,"",VLOOKUP(C25,DSNV!$C$8:$N$48,3,FALSE))</f>
        <v>Lê Thảo Nguyên</v>
      </c>
      <c r="E25" s="4" t="str">
        <f>IF(VLOOKUP(C25,DSNV!$C$8:$N$48,8,FALSE)="","",VLOOKUP(C25,DSNV!$C$8:$N$48,8,FALSE))</f>
        <v>Thành viên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4">
        <f t="shared" si="2"/>
        <v>0</v>
      </c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4">
        <f t="shared" si="3"/>
        <v>0</v>
      </c>
      <c r="BR25" s="4">
        <f>BQ25/2</f>
        <v>0</v>
      </c>
      <c r="BS25" s="4"/>
      <c r="BT25" s="45">
        <f t="shared" si="4"/>
        <v>0</v>
      </c>
      <c r="BU25" s="7"/>
    </row>
    <row r="26" spans="1:73" x14ac:dyDescent="0.3">
      <c r="A26" s="78"/>
      <c r="C26" s="6">
        <v>13</v>
      </c>
      <c r="D26" s="5" t="str">
        <f>IF(VLOOKUP(C26,DSNV!$C$8:$N$48,3,FALSE)=0,"",VLOOKUP(C26,DSNV!$C$8:$N$48,3,FALSE))</f>
        <v>Võ Thị Xuân Nữ</v>
      </c>
      <c r="E26" s="4" t="str">
        <f>IF(VLOOKUP(C26,DSNV!$C$8:$N$48,8,FALSE)="","",VLOOKUP(C26,DSNV!$C$8:$N$48,8,FALSE))</f>
        <v>Thành viên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4">
        <f t="shared" si="2"/>
        <v>0</v>
      </c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4">
        <f t="shared" si="3"/>
        <v>0</v>
      </c>
      <c r="BR26" s="4"/>
      <c r="BS26" s="4"/>
      <c r="BT26" s="45">
        <f t="shared" si="4"/>
        <v>0</v>
      </c>
      <c r="BU26" s="7"/>
    </row>
    <row r="27" spans="1:73" x14ac:dyDescent="0.3">
      <c r="A27" s="78"/>
      <c r="C27" s="6">
        <v>14</v>
      </c>
      <c r="D27" s="5" t="str">
        <f>IF(VLOOKUP(C27,DSNV!$C$8:$N$48,3,FALSE)=0,"",VLOOKUP(C27,DSNV!$C$8:$N$48,3,FALSE))</f>
        <v>Đỗ Thị Lan Phương</v>
      </c>
      <c r="E27" s="4" t="str">
        <f>IF(VLOOKUP(C27,DSNV!$C$8:$N$48,8,FALSE)="","",VLOOKUP(C27,DSNV!$C$8:$N$48,8,FALSE))</f>
        <v>Thành viên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4">
        <f t="shared" si="2"/>
        <v>0</v>
      </c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4">
        <f t="shared" si="3"/>
        <v>0</v>
      </c>
      <c r="BR27" s="4"/>
      <c r="BS27" s="4"/>
      <c r="BT27" s="45">
        <f t="shared" si="4"/>
        <v>0</v>
      </c>
      <c r="BU27" s="7"/>
    </row>
    <row r="28" spans="1:73" x14ac:dyDescent="0.3">
      <c r="A28" s="78"/>
      <c r="C28" s="6">
        <v>15</v>
      </c>
      <c r="D28" s="5" t="str">
        <f>IF(VLOOKUP(C28,DSNV!$C$8:$N$48,3,FALSE)=0,"",VLOOKUP(C28,DSNV!$C$8:$N$48,3,FALSE))</f>
        <v>Nguyễn Thị Nhã Quyên</v>
      </c>
      <c r="E28" s="4" t="str">
        <f>IF(VLOOKUP(C28,DSNV!$C$8:$N$48,8,FALSE)="","",VLOOKUP(C28,DSNV!$C$8:$N$48,8,FALSE))</f>
        <v>Thành viên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4">
        <f t="shared" si="2"/>
        <v>0</v>
      </c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4">
        <f t="shared" si="3"/>
        <v>0</v>
      </c>
      <c r="BR28" s="4">
        <f t="shared" ref="BR28:BR33" si="6">BQ28/2</f>
        <v>0</v>
      </c>
      <c r="BS28" s="4"/>
      <c r="BT28" s="45">
        <f t="shared" si="4"/>
        <v>0</v>
      </c>
      <c r="BU28" s="7"/>
    </row>
    <row r="29" spans="1:73" x14ac:dyDescent="0.3">
      <c r="A29" s="78"/>
      <c r="C29" s="6">
        <v>16</v>
      </c>
      <c r="D29" s="5" t="str">
        <f>IF(VLOOKUP(C29,DSNV!$C$8:$N$48,3,FALSE)=0,"",VLOOKUP(C29,DSNV!$C$8:$N$48,3,FALSE))</f>
        <v>Nguyễn Đức Vĩnh Thắng</v>
      </c>
      <c r="E29" s="4" t="str">
        <f>IF(VLOOKUP(C29,DSNV!$C$8:$N$48,8,FALSE)="","",VLOOKUP(C29,DSNV!$C$8:$N$48,8,FALSE))</f>
        <v>Trưởng ban</v>
      </c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4">
        <f t="shared" si="2"/>
        <v>0</v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4">
        <f t="shared" si="3"/>
        <v>0</v>
      </c>
      <c r="BR29" s="4">
        <f t="shared" si="6"/>
        <v>0</v>
      </c>
      <c r="BS29" s="4"/>
      <c r="BT29" s="45">
        <f t="shared" si="4"/>
        <v>0</v>
      </c>
      <c r="BU29" s="7"/>
    </row>
    <row r="30" spans="1:73" x14ac:dyDescent="0.3">
      <c r="A30" s="78"/>
      <c r="C30" s="6">
        <v>17</v>
      </c>
      <c r="D30" s="5" t="str">
        <f>IF(VLOOKUP(C30,DSNV!$C$8:$N$48,3,FALSE)=0,"",VLOOKUP(C30,DSNV!$C$8:$N$48,3,FALSE))</f>
        <v>Nguyễn Thành Tiến</v>
      </c>
      <c r="E30" s="4" t="str">
        <f>IF(VLOOKUP(C30,DSNV!$C$8:$N$48,8,FALSE)="","",VLOOKUP(C30,DSNV!$C$8:$N$48,8,FALSE))</f>
        <v>Thành viên</v>
      </c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4">
        <f t="shared" si="2"/>
        <v>0</v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4">
        <f t="shared" si="3"/>
        <v>0</v>
      </c>
      <c r="BR30" s="4">
        <f t="shared" si="6"/>
        <v>0</v>
      </c>
      <c r="BS30" s="4"/>
      <c r="BT30" s="45">
        <f t="shared" si="4"/>
        <v>0</v>
      </c>
      <c r="BU30" s="7"/>
    </row>
    <row r="31" spans="1:73" x14ac:dyDescent="0.3">
      <c r="A31" s="78"/>
      <c r="C31" s="6">
        <v>18</v>
      </c>
      <c r="D31" s="5" t="str">
        <f>IF(VLOOKUP(C31,DSNV!$C$8:$N$48,3,FALSE)=0,"",VLOOKUP(C31,DSNV!$C$8:$N$48,3,FALSE))</f>
        <v>Trần Thị Trúc</v>
      </c>
      <c r="E31" s="4" t="str">
        <f>IF(VLOOKUP(C31,DSNV!$C$8:$N$48,8,FALSE)="","",VLOOKUP(C31,DSNV!$C$8:$N$48,8,FALSE))</f>
        <v>Thành viên</v>
      </c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4">
        <f t="shared" si="2"/>
        <v>0</v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4">
        <f t="shared" si="3"/>
        <v>0</v>
      </c>
      <c r="BR31" s="4">
        <f t="shared" si="6"/>
        <v>0</v>
      </c>
      <c r="BS31" s="4"/>
      <c r="BT31" s="45">
        <f t="shared" si="4"/>
        <v>0</v>
      </c>
      <c r="BU31" s="7"/>
    </row>
    <row r="32" spans="1:73" x14ac:dyDescent="0.3">
      <c r="A32" s="78"/>
      <c r="C32" s="6">
        <v>19</v>
      </c>
      <c r="D32" s="5" t="str">
        <f>IF(VLOOKUP(C32,DSNV!$C$8:$N$48,3,FALSE)=0,"",VLOOKUP(C32,DSNV!$C$8:$N$48,3,FALSE))</f>
        <v>Bùi Hoàng Trung</v>
      </c>
      <c r="E32" s="4" t="str">
        <f>IF(VLOOKUP(C32,DSNV!$C$8:$N$48,8,FALSE)="","",VLOOKUP(C32,DSNV!$C$8:$N$48,8,FALSE))</f>
        <v>Thành viên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4">
        <f t="shared" si="2"/>
        <v>0</v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4">
        <f t="shared" si="3"/>
        <v>0</v>
      </c>
      <c r="BR32" s="4">
        <f t="shared" si="6"/>
        <v>0</v>
      </c>
      <c r="BS32" s="4"/>
      <c r="BT32" s="45">
        <f t="shared" si="4"/>
        <v>0</v>
      </c>
      <c r="BU32" s="7"/>
    </row>
    <row r="33" spans="1:73" ht="15" thickBot="1" x14ac:dyDescent="0.35">
      <c r="A33" s="78"/>
      <c r="C33" s="6">
        <v>20</v>
      </c>
      <c r="D33" s="5" t="str">
        <f>IF(VLOOKUP(C33,DSNV!$C$8:$N$48,3,FALSE)=0,"",VLOOKUP(C33,DSNV!$C$8:$N$48,3,FALSE))</f>
        <v>Ngô Trúc Tường Vy</v>
      </c>
      <c r="E33" s="4" t="str">
        <f>IF(VLOOKUP(C33,DSNV!$C$8:$N$48,8,FALSE)="","",VLOOKUP(C33,DSNV!$C$8:$N$48,8,FALSE))</f>
        <v>Trưởng ban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4">
        <f t="shared" si="2"/>
        <v>0</v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4">
        <f t="shared" si="3"/>
        <v>0</v>
      </c>
      <c r="BR33" s="4">
        <f t="shared" si="6"/>
        <v>0</v>
      </c>
      <c r="BS33" s="4"/>
      <c r="BT33" s="45">
        <f t="shared" si="4"/>
        <v>0</v>
      </c>
      <c r="BU33" s="7"/>
    </row>
    <row r="34" spans="1:73" ht="15" hidden="1" thickBot="1" x14ac:dyDescent="0.35">
      <c r="A34" s="78"/>
      <c r="C34" s="6">
        <v>21</v>
      </c>
      <c r="D34" s="5" t="str">
        <f>IF(VLOOKUP(C34,DSNV!$C$8:$N$48,3,FALSE)=0,"",VLOOKUP(C34,DSNV!$C$8:$N$48,3,FALSE))</f>
        <v/>
      </c>
      <c r="E34" s="4" t="str">
        <f>IF(VLOOKUP(C34,DSNV!$C$8:$N$48,8,FALSE)="","",VLOOKUP(C34,DSNV!$C$8:$N$48,8,FALSE))</f>
        <v/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4">
        <f t="shared" si="2"/>
        <v>0</v>
      </c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4">
        <f t="shared" si="3"/>
        <v>0</v>
      </c>
      <c r="BR34" s="4"/>
      <c r="BS34" s="4"/>
      <c r="BT34" s="45">
        <f t="shared" si="4"/>
        <v>0</v>
      </c>
      <c r="BU34" s="7"/>
    </row>
    <row r="35" spans="1:73" ht="15" hidden="1" thickBot="1" x14ac:dyDescent="0.35">
      <c r="A35" s="78"/>
      <c r="C35" s="6">
        <v>22</v>
      </c>
      <c r="D35" s="5" t="str">
        <f>IF(VLOOKUP(C35,DSNV!$C$8:$N$48,3,FALSE)=0,"",VLOOKUP(C35,DSNV!$C$8:$N$48,3,FALSE))</f>
        <v/>
      </c>
      <c r="E35" s="4" t="str">
        <f>IF(VLOOKUP(C35,DSNV!$C$8:$N$48,8,FALSE)="","",VLOOKUP(C35,DSNV!$C$8:$N$48,8,FALSE))</f>
        <v/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4">
        <f t="shared" si="2"/>
        <v>0</v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4">
        <f t="shared" si="3"/>
        <v>0</v>
      </c>
      <c r="BR35" s="4"/>
      <c r="BS35" s="4"/>
      <c r="BT35" s="45">
        <f t="shared" si="4"/>
        <v>0</v>
      </c>
      <c r="BU35" s="7"/>
    </row>
    <row r="36" spans="1:73" ht="15" hidden="1" thickBot="1" x14ac:dyDescent="0.35">
      <c r="A36" s="78"/>
      <c r="C36" s="6">
        <v>23</v>
      </c>
      <c r="D36" s="5" t="str">
        <f>IF(VLOOKUP(C36,DSNV!$C$8:$N$48,3,FALSE)=0,"",VLOOKUP(C36,DSNV!$C$8:$N$48,3,FALSE))</f>
        <v/>
      </c>
      <c r="E36" s="4" t="str">
        <f>IF(VLOOKUP(C36,DSNV!$C$8:$N$48,8,FALSE)="","",VLOOKUP(C36,DSNV!$C$8:$N$48,8,FALSE))</f>
        <v/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4">
        <f t="shared" si="2"/>
        <v>0</v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4">
        <f t="shared" si="3"/>
        <v>0</v>
      </c>
      <c r="BR36" s="4"/>
      <c r="BS36" s="4"/>
      <c r="BT36" s="45">
        <f t="shared" si="4"/>
        <v>0</v>
      </c>
      <c r="BU36" s="7"/>
    </row>
    <row r="37" spans="1:73" ht="15" hidden="1" thickBot="1" x14ac:dyDescent="0.35">
      <c r="A37" s="78"/>
      <c r="C37" s="6">
        <v>24</v>
      </c>
      <c r="D37" s="5" t="str">
        <f>IF(VLOOKUP(C37,DSNV!$C$8:$N$48,3,FALSE)=0,"",VLOOKUP(C37,DSNV!$C$8:$N$48,3,FALSE))</f>
        <v/>
      </c>
      <c r="E37" s="4" t="str">
        <f>IF(VLOOKUP(C37,DSNV!$C$8:$N$48,8,FALSE)="","",VLOOKUP(C37,DSNV!$C$8:$N$48,8,FALSE))</f>
        <v/>
      </c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4">
        <f t="shared" si="2"/>
        <v>0</v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4">
        <f t="shared" si="3"/>
        <v>0</v>
      </c>
      <c r="BR37" s="4"/>
      <c r="BS37" s="4"/>
      <c r="BT37" s="45">
        <f t="shared" si="4"/>
        <v>0</v>
      </c>
      <c r="BU37" s="7"/>
    </row>
    <row r="38" spans="1:73" ht="15" hidden="1" thickBot="1" x14ac:dyDescent="0.35">
      <c r="A38" s="78"/>
      <c r="C38" s="6">
        <v>25</v>
      </c>
      <c r="D38" s="5" t="str">
        <f>IF(VLOOKUP(C38,DSNV!$C$8:$N$48,3,FALSE)=0,"",VLOOKUP(C38,DSNV!$C$8:$N$48,3,FALSE))</f>
        <v/>
      </c>
      <c r="E38" s="4" t="str">
        <f>IF(VLOOKUP(C38,DSNV!$C$8:$N$48,8,FALSE)="","",VLOOKUP(C38,DSNV!$C$8:$N$48,8,FALSE))</f>
        <v/>
      </c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4">
        <f t="shared" si="2"/>
        <v>0</v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4">
        <f t="shared" si="3"/>
        <v>0</v>
      </c>
      <c r="BR38" s="4"/>
      <c r="BS38" s="4"/>
      <c r="BT38" s="45">
        <f t="shared" si="4"/>
        <v>0</v>
      </c>
      <c r="BU38" s="7"/>
    </row>
    <row r="39" spans="1:73" ht="15" hidden="1" thickBot="1" x14ac:dyDescent="0.35">
      <c r="A39" s="78"/>
      <c r="C39" s="6">
        <v>26</v>
      </c>
      <c r="D39" s="5" t="str">
        <f>IF(VLOOKUP(C39,DSNV!$C$8:$N$48,3,FALSE)=0,"",VLOOKUP(C39,DSNV!$C$8:$N$48,3,FALSE))</f>
        <v/>
      </c>
      <c r="E39" s="4" t="str">
        <f>IF(VLOOKUP(C39,DSNV!$C$8:$N$48,8,FALSE)="","",VLOOKUP(C39,DSNV!$C$8:$N$48,8,FALSE))</f>
        <v/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4">
        <f t="shared" si="2"/>
        <v>0</v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4">
        <f t="shared" si="3"/>
        <v>0</v>
      </c>
      <c r="BR39" s="4"/>
      <c r="BS39" s="4"/>
      <c r="BT39" s="45">
        <f t="shared" si="4"/>
        <v>0</v>
      </c>
      <c r="BU39" s="7"/>
    </row>
    <row r="40" spans="1:73" ht="15" hidden="1" thickBot="1" x14ac:dyDescent="0.35">
      <c r="A40" s="78"/>
      <c r="C40" s="6">
        <v>27</v>
      </c>
      <c r="D40" s="5" t="str">
        <f>IF(VLOOKUP(C40,DSNV!$C$8:$N$48,3,FALSE)=0,"",VLOOKUP(C40,DSNV!$C$8:$N$48,3,FALSE))</f>
        <v/>
      </c>
      <c r="E40" s="4" t="str">
        <f>IF(VLOOKUP(C40,DSNV!$C$8:$N$48,8,FALSE)="","",VLOOKUP(C40,DSNV!$C$8:$N$48,8,FALSE))</f>
        <v/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4">
        <f t="shared" si="2"/>
        <v>0</v>
      </c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4">
        <f t="shared" si="3"/>
        <v>0</v>
      </c>
      <c r="BR40" s="4"/>
      <c r="BS40" s="4"/>
      <c r="BT40" s="45">
        <f t="shared" si="4"/>
        <v>0</v>
      </c>
      <c r="BU40" s="7"/>
    </row>
    <row r="41" spans="1:73" ht="15" hidden="1" thickBot="1" x14ac:dyDescent="0.35">
      <c r="A41" s="78"/>
      <c r="C41" s="6">
        <v>28</v>
      </c>
      <c r="D41" s="5" t="str">
        <f>IF(VLOOKUP(C41,DSNV!$C$8:$N$48,3,FALSE)=0,"",VLOOKUP(C41,DSNV!$C$8:$N$48,3,FALSE))</f>
        <v/>
      </c>
      <c r="E41" s="4" t="str">
        <f>IF(VLOOKUP(C41,DSNV!$C$8:$N$48,8,FALSE)="","",VLOOKUP(C41,DSNV!$C$8:$N$48,8,FALSE))</f>
        <v/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4">
        <f t="shared" si="2"/>
        <v>0</v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4">
        <f t="shared" si="3"/>
        <v>0</v>
      </c>
      <c r="BR41" s="4"/>
      <c r="BS41" s="4"/>
      <c r="BT41" s="45">
        <f t="shared" si="4"/>
        <v>0</v>
      </c>
      <c r="BU41" s="7"/>
    </row>
    <row r="42" spans="1:73" ht="15" hidden="1" thickBot="1" x14ac:dyDescent="0.35">
      <c r="A42" s="78"/>
      <c r="C42" s="6">
        <v>29</v>
      </c>
      <c r="D42" s="5" t="str">
        <f>IF(VLOOKUP(C42,DSNV!$C$8:$N$48,3,FALSE)=0,"",VLOOKUP(C42,DSNV!$C$8:$N$48,3,FALSE))</f>
        <v/>
      </c>
      <c r="E42" s="4" t="str">
        <f>IF(VLOOKUP(C42,DSNV!$C$8:$N$48,8,FALSE)="","",VLOOKUP(C42,DSNV!$C$8:$N$48,8,FALSE))</f>
        <v/>
      </c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4">
        <f t="shared" si="2"/>
        <v>0</v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4">
        <f t="shared" si="3"/>
        <v>0</v>
      </c>
      <c r="BR42" s="4"/>
      <c r="BS42" s="4"/>
      <c r="BT42" s="45">
        <f t="shared" si="4"/>
        <v>0</v>
      </c>
      <c r="BU42" s="7"/>
    </row>
    <row r="43" spans="1:73" ht="15" hidden="1" thickBot="1" x14ac:dyDescent="0.35">
      <c r="A43" s="78"/>
      <c r="C43" s="6">
        <v>30</v>
      </c>
      <c r="D43" s="5" t="str">
        <f>IF(VLOOKUP(C43,DSNV!$C$8:$N$48,3,FALSE)=0,"",VLOOKUP(C43,DSNV!$C$8:$N$48,3,FALSE))</f>
        <v/>
      </c>
      <c r="E43" s="4" t="str">
        <f>IF(VLOOKUP(C43,DSNV!$C$8:$N$48,8,FALSE)="","",VLOOKUP(C43,DSNV!$C$8:$N$48,8,FALSE))</f>
        <v/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4">
        <f t="shared" si="2"/>
        <v>0</v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4">
        <f t="shared" si="3"/>
        <v>0</v>
      </c>
      <c r="BR43" s="4"/>
      <c r="BS43" s="4"/>
      <c r="BT43" s="45">
        <f t="shared" si="4"/>
        <v>0</v>
      </c>
      <c r="BU43" s="7"/>
    </row>
    <row r="44" spans="1:73" ht="15" hidden="1" thickBot="1" x14ac:dyDescent="0.35">
      <c r="A44" s="78"/>
      <c r="C44" s="6">
        <v>31</v>
      </c>
      <c r="D44" s="5" t="str">
        <f>IF(VLOOKUP(C44,DSNV!$C$8:$N$48,3,FALSE)=0,"",VLOOKUP(C44,DSNV!$C$8:$N$48,3,FALSE))</f>
        <v/>
      </c>
      <c r="E44" s="4" t="str">
        <f>IF(VLOOKUP(C44,DSNV!$C$8:$N$48,8,FALSE)="","",VLOOKUP(C44,DSNV!$C$8:$N$48,8,FALSE))</f>
        <v/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4">
        <f t="shared" si="2"/>
        <v>0</v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4">
        <f t="shared" si="3"/>
        <v>0</v>
      </c>
      <c r="BR44" s="4"/>
      <c r="BS44" s="4"/>
      <c r="BT44" s="45">
        <f t="shared" si="4"/>
        <v>0</v>
      </c>
      <c r="BU44" s="7"/>
    </row>
    <row r="45" spans="1:73" ht="15" hidden="1" thickBot="1" x14ac:dyDescent="0.35">
      <c r="A45" s="78"/>
      <c r="C45" s="6">
        <v>32</v>
      </c>
      <c r="D45" s="5" t="str">
        <f>IF(VLOOKUP(C45,DSNV!$C$8:$N$48,3,FALSE)=0,"",VLOOKUP(C45,DSNV!$C$8:$N$48,3,FALSE))</f>
        <v/>
      </c>
      <c r="E45" s="4" t="str">
        <f>IF(VLOOKUP(C45,DSNV!$C$8:$N$48,8,FALSE)="","",VLOOKUP(C45,DSNV!$C$8:$N$48,8,FALSE))</f>
        <v/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4">
        <f t="shared" si="2"/>
        <v>0</v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4">
        <f t="shared" si="3"/>
        <v>0</v>
      </c>
      <c r="BR45" s="4"/>
      <c r="BS45" s="4"/>
      <c r="BT45" s="45">
        <f t="shared" si="4"/>
        <v>0</v>
      </c>
      <c r="BU45" s="7"/>
    </row>
    <row r="46" spans="1:73" ht="15" hidden="1" thickBot="1" x14ac:dyDescent="0.35">
      <c r="A46" s="78"/>
      <c r="C46" s="6">
        <v>33</v>
      </c>
      <c r="D46" s="5" t="str">
        <f>IF(VLOOKUP(C46,DSNV!$C$8:$N$48,3,FALSE)=0,"",VLOOKUP(C46,DSNV!$C$8:$N$48,3,FALSE))</f>
        <v/>
      </c>
      <c r="E46" s="4" t="str">
        <f>IF(VLOOKUP(C46,DSNV!$C$8:$N$48,8,FALSE)="","",VLOOKUP(C46,DSNV!$C$8:$N$48,8,FALSE))</f>
        <v/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4">
        <f t="shared" si="2"/>
        <v>0</v>
      </c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4">
        <f t="shared" si="3"/>
        <v>0</v>
      </c>
      <c r="BR46" s="4"/>
      <c r="BS46" s="4"/>
      <c r="BT46" s="45">
        <f t="shared" si="4"/>
        <v>0</v>
      </c>
      <c r="BU46" s="7"/>
    </row>
    <row r="47" spans="1:73" ht="15" hidden="1" thickBot="1" x14ac:dyDescent="0.35">
      <c r="A47" s="78"/>
      <c r="C47" s="6">
        <v>34</v>
      </c>
      <c r="D47" s="5" t="str">
        <f>IF(VLOOKUP(C47,DSNV!$C$8:$N$48,3,FALSE)=0,"",VLOOKUP(C47,DSNV!$C$8:$N$48,3,FALSE))</f>
        <v/>
      </c>
      <c r="E47" s="4" t="str">
        <f>IF(VLOOKUP(C47,DSNV!$C$8:$N$48,8,FALSE)="","",VLOOKUP(C47,DSNV!$C$8:$N$48,8,FALSE))</f>
        <v/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4">
        <f t="shared" si="2"/>
        <v>0</v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4">
        <f t="shared" si="3"/>
        <v>0</v>
      </c>
      <c r="BR47" s="4"/>
      <c r="BS47" s="4"/>
      <c r="BT47" s="45">
        <f t="shared" si="4"/>
        <v>0</v>
      </c>
      <c r="BU47" s="7"/>
    </row>
    <row r="48" spans="1:73" ht="15" hidden="1" thickBot="1" x14ac:dyDescent="0.35">
      <c r="A48" s="78"/>
      <c r="C48" s="6">
        <v>35</v>
      </c>
      <c r="D48" s="5" t="str">
        <f>IF(VLOOKUP(C48,DSNV!$C$8:$N$48,3,FALSE)=0,"",VLOOKUP(C48,DSNV!$C$8:$N$48,3,FALSE))</f>
        <v/>
      </c>
      <c r="E48" s="4" t="str">
        <f>IF(VLOOKUP(C48,DSNV!$C$8:$N$48,8,FALSE)="","",VLOOKUP(C48,DSNV!$C$8:$N$48,8,FALSE))</f>
        <v/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4">
        <f t="shared" si="2"/>
        <v>0</v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4">
        <f t="shared" si="3"/>
        <v>0</v>
      </c>
      <c r="BR48" s="4"/>
      <c r="BS48" s="4"/>
      <c r="BT48" s="45">
        <f t="shared" si="4"/>
        <v>0</v>
      </c>
      <c r="BU48" s="7"/>
    </row>
    <row r="49" spans="1:74" ht="15" hidden="1" thickBot="1" x14ac:dyDescent="0.35">
      <c r="A49" s="78"/>
      <c r="C49" s="6">
        <v>36</v>
      </c>
      <c r="D49" s="5" t="str">
        <f>IF(VLOOKUP(C49,DSNV!$C$8:$N$48,3,FALSE)=0,"",VLOOKUP(C49,DSNV!$C$8:$N$48,3,FALSE))</f>
        <v/>
      </c>
      <c r="E49" s="4" t="str">
        <f>IF(VLOOKUP(C49,DSNV!$C$8:$N$48,8,FALSE)="","",VLOOKUP(C49,DSNV!$C$8:$N$48,8,FALSE))</f>
        <v/>
      </c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4">
        <f t="shared" si="2"/>
        <v>0</v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4">
        <f t="shared" si="3"/>
        <v>0</v>
      </c>
      <c r="BR49" s="4"/>
      <c r="BS49" s="4"/>
      <c r="BT49" s="45">
        <f t="shared" si="4"/>
        <v>0</v>
      </c>
      <c r="BU49" s="7"/>
    </row>
    <row r="50" spans="1:74" ht="15" hidden="1" thickBot="1" x14ac:dyDescent="0.35">
      <c r="A50" s="78"/>
      <c r="C50" s="6">
        <v>37</v>
      </c>
      <c r="D50" s="5" t="str">
        <f>IF(VLOOKUP(C50,DSNV!$C$8:$N$48,3,FALSE)=0,"",VLOOKUP(C50,DSNV!$C$8:$N$48,3,FALSE))</f>
        <v/>
      </c>
      <c r="E50" s="4" t="str">
        <f>IF(VLOOKUP(C50,DSNV!$C$8:$N$48,8,FALSE)="","",VLOOKUP(C50,DSNV!$C$8:$N$48,8,FALSE))</f>
        <v/>
      </c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4">
        <f t="shared" si="2"/>
        <v>0</v>
      </c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4">
        <f t="shared" si="3"/>
        <v>0</v>
      </c>
      <c r="BR50" s="4"/>
      <c r="BS50" s="4"/>
      <c r="BT50" s="45">
        <f t="shared" si="4"/>
        <v>0</v>
      </c>
      <c r="BU50" s="7"/>
    </row>
    <row r="51" spans="1:74" ht="15" hidden="1" thickBot="1" x14ac:dyDescent="0.35">
      <c r="A51" s="78"/>
      <c r="C51" s="6">
        <v>38</v>
      </c>
      <c r="D51" s="5" t="str">
        <f>IF(VLOOKUP(C51,DSNV!$C$8:$N$48,3,FALSE)=0,"",VLOOKUP(C51,DSNV!$C$8:$N$48,3,FALSE))</f>
        <v/>
      </c>
      <c r="E51" s="4" t="str">
        <f>IF(VLOOKUP(C51,DSNV!$C$8:$N$48,8,FALSE)="","",VLOOKUP(C51,DSNV!$C$8:$N$48,8,FALSE))</f>
        <v/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4">
        <f t="shared" si="2"/>
        <v>0</v>
      </c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4">
        <f t="shared" si="3"/>
        <v>0</v>
      </c>
      <c r="BR51" s="4"/>
      <c r="BS51" s="4"/>
      <c r="BT51" s="45">
        <f t="shared" si="4"/>
        <v>0</v>
      </c>
      <c r="BU51" s="7"/>
    </row>
    <row r="52" spans="1:74" ht="15" hidden="1" thickBot="1" x14ac:dyDescent="0.35">
      <c r="A52" s="78"/>
      <c r="C52" s="6">
        <v>39</v>
      </c>
      <c r="D52" s="5" t="str">
        <f>IF(VLOOKUP(C52,DSNV!$C$8:$N$48,3,FALSE)=0,"",VLOOKUP(C52,DSNV!$C$8:$N$48,3,FALSE))</f>
        <v/>
      </c>
      <c r="E52" s="4" t="str">
        <f>IF(VLOOKUP(C52,DSNV!$C$8:$N$48,8,FALSE)="","",VLOOKUP(C52,DSNV!$C$8:$N$48,8,FALSE))</f>
        <v/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4">
        <f t="shared" si="2"/>
        <v>0</v>
      </c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4">
        <f t="shared" si="3"/>
        <v>0</v>
      </c>
      <c r="BR52" s="4"/>
      <c r="BS52" s="4"/>
      <c r="BT52" s="45">
        <f t="shared" si="4"/>
        <v>0</v>
      </c>
      <c r="BU52" s="7"/>
    </row>
    <row r="53" spans="1:74" ht="15" hidden="1" thickBot="1" x14ac:dyDescent="0.35">
      <c r="A53" s="78"/>
      <c r="C53" s="14">
        <v>40</v>
      </c>
      <c r="D53" s="5" t="str">
        <f>IF(VLOOKUP(C53,DSNV!$C$8:$N$48,3,FALSE)=0,"",VLOOKUP(C53,DSNV!$C$8:$N$48,3,FALSE))</f>
        <v/>
      </c>
      <c r="E53" s="4" t="str">
        <f>IF(VLOOKUP(C53,DSNV!$C$8:$N$48,8,FALSE)="","",VLOOKUP(C53,DSNV!$C$8:$N$48,8,FALSE))</f>
        <v/>
      </c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4">
        <f t="shared" si="2"/>
        <v>0</v>
      </c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4">
        <f t="shared" si="3"/>
        <v>0</v>
      </c>
      <c r="BR53" s="4"/>
      <c r="BS53" s="4"/>
      <c r="BT53" s="45">
        <f t="shared" si="4"/>
        <v>0</v>
      </c>
      <c r="BU53" s="15"/>
    </row>
    <row r="54" spans="1:74" ht="15" thickBot="1" x14ac:dyDescent="0.35">
      <c r="A54" s="78"/>
      <c r="C54" s="121" t="s">
        <v>53</v>
      </c>
      <c r="D54" s="121"/>
      <c r="E54" s="121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37">
        <f>SUM(AK14:AK53)</f>
        <v>0</v>
      </c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37">
        <f>SUM(BQ14:BQ53)</f>
        <v>0</v>
      </c>
      <c r="BR54" s="37">
        <f t="shared" ref="BR54:BS54" si="7">SUM(BR14:BR53)</f>
        <v>0</v>
      </c>
      <c r="BS54" s="37">
        <f t="shared" si="7"/>
        <v>0</v>
      </c>
      <c r="BT54" s="37">
        <f>SUM(BT14:BT53)</f>
        <v>0</v>
      </c>
      <c r="BU54" s="17"/>
    </row>
    <row r="55" spans="1:74" x14ac:dyDescent="0.3">
      <c r="A55" s="78"/>
    </row>
    <row r="56" spans="1:74" x14ac:dyDescent="0.3">
      <c r="A56" s="78"/>
    </row>
    <row r="57" spans="1:74" x14ac:dyDescent="0.3">
      <c r="A57" s="78"/>
      <c r="B57" s="78"/>
      <c r="C57" s="77"/>
      <c r="D57" s="78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  <c r="AW57" s="77"/>
      <c r="AX57" s="77"/>
      <c r="AY57" s="77"/>
      <c r="AZ57" s="77"/>
      <c r="BA57" s="77"/>
      <c r="BB57" s="77"/>
      <c r="BC57" s="77"/>
      <c r="BD57" s="77"/>
      <c r="BE57" s="77"/>
      <c r="BF57" s="77"/>
      <c r="BG57" s="77"/>
      <c r="BH57" s="77"/>
      <c r="BI57" s="77"/>
      <c r="BJ57" s="77"/>
      <c r="BK57" s="77"/>
      <c r="BL57" s="77"/>
      <c r="BM57" s="77"/>
      <c r="BN57" s="77"/>
      <c r="BO57" s="77"/>
      <c r="BP57" s="77"/>
      <c r="BQ57" s="77"/>
      <c r="BR57" s="77"/>
      <c r="BS57" s="77"/>
      <c r="BT57" s="77"/>
      <c r="BU57" s="78"/>
      <c r="BV57" s="78"/>
    </row>
    <row r="58" spans="1:74" x14ac:dyDescent="0.3">
      <c r="A58" s="78"/>
      <c r="B58" s="78"/>
      <c r="C58" s="77"/>
      <c r="D58" s="78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7"/>
      <c r="AL58" s="77"/>
      <c r="AM58" s="77"/>
      <c r="AN58" s="77"/>
      <c r="AO58" s="77"/>
      <c r="AP58" s="77"/>
      <c r="AQ58" s="77"/>
      <c r="AR58" s="77"/>
      <c r="AS58" s="77"/>
      <c r="AT58" s="77"/>
      <c r="AU58" s="77"/>
      <c r="AV58" s="77"/>
      <c r="AW58" s="77"/>
      <c r="AX58" s="77"/>
      <c r="AY58" s="77"/>
      <c r="AZ58" s="77"/>
      <c r="BA58" s="77"/>
      <c r="BB58" s="77"/>
      <c r="BC58" s="77"/>
      <c r="BD58" s="77"/>
      <c r="BE58" s="77"/>
      <c r="BF58" s="77"/>
      <c r="BG58" s="77"/>
      <c r="BH58" s="77"/>
      <c r="BI58" s="77"/>
      <c r="BJ58" s="77"/>
      <c r="BK58" s="77"/>
      <c r="BL58" s="77"/>
      <c r="BM58" s="77"/>
      <c r="BN58" s="77"/>
      <c r="BO58" s="77"/>
      <c r="BP58" s="77"/>
      <c r="BQ58" s="77"/>
      <c r="BR58" s="77"/>
      <c r="BS58" s="77"/>
      <c r="BT58" s="77"/>
      <c r="BU58" s="78"/>
      <c r="BV58" s="78"/>
    </row>
    <row r="59" spans="1:74" x14ac:dyDescent="0.3">
      <c r="A59" s="78"/>
      <c r="B59" s="78"/>
      <c r="C59" s="77"/>
      <c r="D59" s="78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  <c r="AI59" s="77"/>
      <c r="AJ59" s="77"/>
      <c r="AK59" s="77"/>
      <c r="AL59" s="77"/>
      <c r="AM59" s="77"/>
      <c r="AN59" s="77"/>
      <c r="AO59" s="77"/>
      <c r="AP59" s="77"/>
      <c r="AQ59" s="77"/>
      <c r="AR59" s="77"/>
      <c r="AS59" s="77"/>
      <c r="AT59" s="77"/>
      <c r="AU59" s="77"/>
      <c r="AV59" s="77"/>
      <c r="AW59" s="77"/>
      <c r="AX59" s="77"/>
      <c r="AY59" s="77"/>
      <c r="AZ59" s="77"/>
      <c r="BA59" s="77"/>
      <c r="BB59" s="77"/>
      <c r="BC59" s="77"/>
      <c r="BD59" s="77"/>
      <c r="BE59" s="77"/>
      <c r="BF59" s="77"/>
      <c r="BG59" s="77"/>
      <c r="BH59" s="77"/>
      <c r="BI59" s="77"/>
      <c r="BJ59" s="77"/>
      <c r="BK59" s="77"/>
      <c r="BL59" s="77"/>
      <c r="BM59" s="77"/>
      <c r="BN59" s="77"/>
      <c r="BO59" s="77"/>
      <c r="BP59" s="77"/>
      <c r="BQ59" s="77"/>
      <c r="BR59" s="77"/>
      <c r="BS59" s="77"/>
      <c r="BT59" s="77"/>
      <c r="BU59" s="78"/>
      <c r="BV59" s="78"/>
    </row>
  </sheetData>
  <autoFilter ref="C11:BU54" xr:uid="{5B728C7B-9475-4B02-8B4D-6C91ABA364A6}"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</autoFilter>
  <mergeCells count="12">
    <mergeCell ref="BQ11:BQ13"/>
    <mergeCell ref="BT11:BT13"/>
    <mergeCell ref="BU11:BU13"/>
    <mergeCell ref="C54:E54"/>
    <mergeCell ref="BR11:BR13"/>
    <mergeCell ref="BS11:BS13"/>
    <mergeCell ref="C11:C13"/>
    <mergeCell ref="D11:D13"/>
    <mergeCell ref="E11:E13"/>
    <mergeCell ref="F11:AJ11"/>
    <mergeCell ref="AK11:AK13"/>
    <mergeCell ref="AL11:BP11"/>
  </mergeCells>
  <conditionalFormatting sqref="F12:AJ54 AL12:BP54">
    <cfRule type="expression" dxfId="12" priority="3">
      <formula>OR(WEEKDAY($D$1+F$12)=1,WEEKDAY($D$1+F$12)=7)</formula>
    </cfRule>
  </conditionalFormatting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6E39C-5A8D-43DF-AF28-2358E49E2913}">
  <sheetPr codeName="Sheet17"/>
  <dimension ref="A3:B24"/>
  <sheetViews>
    <sheetView showRowColHeaders="0" workbookViewId="0">
      <selection activeCell="A3" sqref="A3"/>
    </sheetView>
  </sheetViews>
  <sheetFormatPr defaultRowHeight="14.4" x14ac:dyDescent="0.3"/>
  <cols>
    <col min="1" max="1" width="21.88671875" bestFit="1" customWidth="1"/>
    <col min="2" max="2" width="11.6640625" bestFit="1" customWidth="1"/>
  </cols>
  <sheetData>
    <row r="3" spans="1:2" x14ac:dyDescent="0.3">
      <c r="A3" s="115" t="s">
        <v>185</v>
      </c>
      <c r="B3" t="s">
        <v>187</v>
      </c>
    </row>
    <row r="4" spans="1:2" x14ac:dyDescent="0.3">
      <c r="A4" s="116" t="s">
        <v>134</v>
      </c>
      <c r="B4" s="117">
        <v>8</v>
      </c>
    </row>
    <row r="5" spans="1:2" x14ac:dyDescent="0.3">
      <c r="A5" s="116" t="s">
        <v>130</v>
      </c>
      <c r="B5" s="117">
        <v>17</v>
      </c>
    </row>
    <row r="6" spans="1:2" x14ac:dyDescent="0.3">
      <c r="A6" s="116" t="s">
        <v>135</v>
      </c>
      <c r="B6" s="117">
        <v>30</v>
      </c>
    </row>
    <row r="7" spans="1:2" x14ac:dyDescent="0.3">
      <c r="A7" s="116" t="s">
        <v>125</v>
      </c>
      <c r="B7" s="117">
        <v>31</v>
      </c>
    </row>
    <row r="8" spans="1:2" x14ac:dyDescent="0.3">
      <c r="A8" s="116" t="s">
        <v>121</v>
      </c>
      <c r="B8" s="117">
        <v>37</v>
      </c>
    </row>
    <row r="9" spans="1:2" x14ac:dyDescent="0.3">
      <c r="A9" s="116" t="s">
        <v>128</v>
      </c>
      <c r="B9" s="117">
        <v>37</v>
      </c>
    </row>
    <row r="10" spans="1:2" x14ac:dyDescent="0.3">
      <c r="A10" s="116" t="s">
        <v>133</v>
      </c>
      <c r="B10" s="117">
        <v>38</v>
      </c>
    </row>
    <row r="11" spans="1:2" x14ac:dyDescent="0.3">
      <c r="A11" s="116" t="s">
        <v>129</v>
      </c>
      <c r="B11" s="117">
        <v>39</v>
      </c>
    </row>
    <row r="12" spans="1:2" x14ac:dyDescent="0.3">
      <c r="A12" s="116" t="s">
        <v>132</v>
      </c>
      <c r="B12" s="117">
        <v>39</v>
      </c>
    </row>
    <row r="13" spans="1:2" x14ac:dyDescent="0.3">
      <c r="A13" s="116" t="s">
        <v>117</v>
      </c>
      <c r="B13" s="117">
        <v>40</v>
      </c>
    </row>
    <row r="14" spans="1:2" x14ac:dyDescent="0.3">
      <c r="A14" s="116" t="s">
        <v>124</v>
      </c>
      <c r="B14" s="117">
        <v>41.5</v>
      </c>
    </row>
    <row r="15" spans="1:2" x14ac:dyDescent="0.3">
      <c r="A15" s="116" t="s">
        <v>122</v>
      </c>
      <c r="B15" s="117">
        <v>43.5</v>
      </c>
    </row>
    <row r="16" spans="1:2" x14ac:dyDescent="0.3">
      <c r="A16" s="116" t="s">
        <v>119</v>
      </c>
      <c r="B16" s="117">
        <v>44</v>
      </c>
    </row>
    <row r="17" spans="1:2" x14ac:dyDescent="0.3">
      <c r="A17" s="116" t="s">
        <v>131</v>
      </c>
      <c r="B17" s="117">
        <v>45.5</v>
      </c>
    </row>
    <row r="18" spans="1:2" x14ac:dyDescent="0.3">
      <c r="A18" s="116" t="s">
        <v>118</v>
      </c>
      <c r="B18" s="117">
        <v>47</v>
      </c>
    </row>
    <row r="19" spans="1:2" x14ac:dyDescent="0.3">
      <c r="A19" s="116" t="s">
        <v>120</v>
      </c>
      <c r="B19" s="117">
        <v>52</v>
      </c>
    </row>
    <row r="20" spans="1:2" x14ac:dyDescent="0.3">
      <c r="A20" s="116" t="s">
        <v>115</v>
      </c>
      <c r="B20" s="117">
        <v>52</v>
      </c>
    </row>
    <row r="21" spans="1:2" x14ac:dyDescent="0.3">
      <c r="A21" s="116" t="s">
        <v>126</v>
      </c>
      <c r="B21" s="117">
        <v>58</v>
      </c>
    </row>
    <row r="22" spans="1:2" x14ac:dyDescent="0.3">
      <c r="A22" s="116" t="s">
        <v>127</v>
      </c>
      <c r="B22" s="117">
        <v>69</v>
      </c>
    </row>
    <row r="23" spans="1:2" x14ac:dyDescent="0.3">
      <c r="A23" s="116" t="s">
        <v>123</v>
      </c>
      <c r="B23" s="117">
        <v>73.5</v>
      </c>
    </row>
    <row r="24" spans="1:2" x14ac:dyDescent="0.3">
      <c r="A24" s="116" t="s">
        <v>186</v>
      </c>
      <c r="B24" s="117">
        <v>842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1BFD6-837E-444B-8212-E698D03E1F07}">
  <sheetPr codeName="Sheet18"/>
  <dimension ref="A1:U53"/>
  <sheetViews>
    <sheetView showGridLines="0" showRowColHeaders="0" workbookViewId="0">
      <pane ySplit="8" topLeftCell="A9" activePane="bottomLeft" state="frozen"/>
      <selection pane="bottomLeft"/>
    </sheetView>
  </sheetViews>
  <sheetFormatPr defaultColWidth="0" defaultRowHeight="14.4" zeroHeight="1" x14ac:dyDescent="0.3"/>
  <cols>
    <col min="1" max="1" width="8.88671875" style="22" customWidth="1"/>
    <col min="2" max="2" width="3.33203125" style="22" customWidth="1"/>
    <col min="3" max="3" width="5.33203125" style="22" customWidth="1"/>
    <col min="4" max="4" width="23.6640625" style="22" customWidth="1"/>
    <col min="5" max="5" width="12.5546875" style="22" customWidth="1"/>
    <col min="6" max="18" width="8.88671875" style="80" customWidth="1"/>
    <col min="19" max="19" width="8.88671875" style="22" customWidth="1"/>
    <col min="20" max="20" width="3.33203125" style="22" customWidth="1"/>
    <col min="21" max="21" width="8.88671875" style="22" customWidth="1"/>
    <col min="22" max="16384" width="8.88671875" style="22" hidden="1"/>
  </cols>
  <sheetData>
    <row r="1" spans="1:21" s="108" customFormat="1" x14ac:dyDescent="0.3"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</row>
    <row r="2" spans="1:21" s="108" customFormat="1" x14ac:dyDescent="0.3"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</row>
    <row r="3" spans="1:21" s="112" customFormat="1" x14ac:dyDescent="0.3"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</row>
    <row r="4" spans="1:21" x14ac:dyDescent="0.3">
      <c r="A4" s="81"/>
      <c r="B4" s="81"/>
      <c r="C4" s="81"/>
      <c r="D4" s="81"/>
      <c r="E4" s="81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2"/>
      <c r="S4" s="81"/>
      <c r="T4" s="81"/>
      <c r="U4" s="81"/>
    </row>
    <row r="5" spans="1:21" x14ac:dyDescent="0.3">
      <c r="A5" s="81"/>
      <c r="U5" s="81"/>
    </row>
    <row r="6" spans="1:21" ht="25.8" x14ac:dyDescent="0.5">
      <c r="A6" s="81"/>
      <c r="C6" s="125" t="s">
        <v>111</v>
      </c>
      <c r="D6" s="125"/>
      <c r="E6" s="125"/>
      <c r="F6" s="125"/>
      <c r="G6" s="125"/>
      <c r="H6" s="125"/>
      <c r="I6" s="125"/>
      <c r="J6" s="125"/>
      <c r="K6" s="125"/>
      <c r="L6" s="125"/>
      <c r="M6" s="125"/>
      <c r="N6" s="125"/>
      <c r="O6" s="125"/>
      <c r="P6" s="125"/>
      <c r="Q6" s="125"/>
      <c r="R6" s="125"/>
      <c r="S6" s="125"/>
      <c r="U6" s="81"/>
    </row>
    <row r="7" spans="1:21" ht="15" thickBot="1" x14ac:dyDescent="0.35">
      <c r="A7" s="81"/>
      <c r="U7" s="81"/>
    </row>
    <row r="8" spans="1:21" ht="15" thickBot="1" x14ac:dyDescent="0.35">
      <c r="A8" s="81"/>
      <c r="C8" s="83" t="s">
        <v>1</v>
      </c>
      <c r="D8" s="83" t="s">
        <v>2</v>
      </c>
      <c r="E8" s="83" t="s">
        <v>6</v>
      </c>
      <c r="F8" s="83" t="s">
        <v>99</v>
      </c>
      <c r="G8" s="83" t="s">
        <v>100</v>
      </c>
      <c r="H8" s="83" t="s">
        <v>101</v>
      </c>
      <c r="I8" s="83" t="s">
        <v>102</v>
      </c>
      <c r="J8" s="83" t="s">
        <v>103</v>
      </c>
      <c r="K8" s="83" t="s">
        <v>104</v>
      </c>
      <c r="L8" s="83" t="s">
        <v>105</v>
      </c>
      <c r="M8" s="83" t="s">
        <v>106</v>
      </c>
      <c r="N8" s="83" t="s">
        <v>107</v>
      </c>
      <c r="O8" s="83" t="s">
        <v>108</v>
      </c>
      <c r="P8" s="83" t="s">
        <v>109</v>
      </c>
      <c r="Q8" s="83" t="s">
        <v>110</v>
      </c>
      <c r="R8" s="83" t="s">
        <v>53</v>
      </c>
      <c r="S8" s="83" t="s">
        <v>8</v>
      </c>
      <c r="U8" s="81"/>
    </row>
    <row r="9" spans="1:21" x14ac:dyDescent="0.3">
      <c r="A9" s="81"/>
      <c r="C9" s="84">
        <v>1</v>
      </c>
      <c r="D9" s="85" t="str">
        <f>IF(VLOOKUP(C9,DSNV!$C$8:$N$48,3,FALSE)=0,"",VLOOKUP(C9,DSNV!$C$8:$N$48,3,FALSE))</f>
        <v>Nguyễn Võ Như Bình</v>
      </c>
      <c r="E9" s="84" t="str">
        <f>IF(VLOOKUP(C9,DSNV!$C$8:$N$48,8,FALSE)="","",VLOOKUP(C9,DSNV!$C$8:$N$48,8,FALSE))</f>
        <v>Thành viên</v>
      </c>
      <c r="F9" s="86">
        <f>'T1'!BT14</f>
        <v>19</v>
      </c>
      <c r="G9" s="86">
        <f>'T2'!BT14</f>
        <v>0</v>
      </c>
      <c r="H9" s="86">
        <f>'T3'!BT14</f>
        <v>14</v>
      </c>
      <c r="I9" s="86">
        <f>'T4'!BT14</f>
        <v>14</v>
      </c>
      <c r="J9" s="86">
        <f>'T5'!BT14</f>
        <v>0</v>
      </c>
      <c r="K9" s="86">
        <f>'T6'!BT14</f>
        <v>0</v>
      </c>
      <c r="L9" s="86">
        <f>'T7'!BT14</f>
        <v>0</v>
      </c>
      <c r="M9" s="86">
        <f>'T8'!BT14</f>
        <v>0</v>
      </c>
      <c r="N9" s="86">
        <f>'T9'!BT14</f>
        <v>0</v>
      </c>
      <c r="O9" s="86">
        <f>'T10'!BT14</f>
        <v>0</v>
      </c>
      <c r="P9" s="86">
        <f>'T11'!BT14</f>
        <v>0</v>
      </c>
      <c r="Q9" s="86">
        <f>'T12'!BT14</f>
        <v>0</v>
      </c>
      <c r="R9" s="86">
        <f>SUM(F9:Q9)</f>
        <v>47</v>
      </c>
      <c r="S9" s="85"/>
      <c r="U9" s="81"/>
    </row>
    <row r="10" spans="1:21" x14ac:dyDescent="0.3">
      <c r="A10" s="81"/>
      <c r="C10" s="87">
        <v>2</v>
      </c>
      <c r="D10" s="85" t="str">
        <f>IF(VLOOKUP(C10,DSNV!$C$8:$N$48,3,FALSE)=0,"",VLOOKUP(C10,DSNV!$C$8:$N$48,3,FALSE))</f>
        <v>Võ Khánh Đoan</v>
      </c>
      <c r="E10" s="84" t="str">
        <f>IF(VLOOKUP(C10,DSNV!$C$8:$N$48,8,FALSE)="","",VLOOKUP(C10,DSNV!$C$8:$N$48,8,FALSE))</f>
        <v>Thành viên</v>
      </c>
      <c r="F10" s="86">
        <f>'T1'!BT15</f>
        <v>16</v>
      </c>
      <c r="G10" s="86">
        <f>'T2'!BT15</f>
        <v>0</v>
      </c>
      <c r="H10" s="86">
        <f>'T3'!BT15</f>
        <v>11</v>
      </c>
      <c r="I10" s="86">
        <f>'T4'!BT15</f>
        <v>17</v>
      </c>
      <c r="J10" s="86">
        <f>'T5'!BT15</f>
        <v>0</v>
      </c>
      <c r="K10" s="86">
        <f>'T6'!BT15</f>
        <v>0</v>
      </c>
      <c r="L10" s="86">
        <f>'T7'!BT15</f>
        <v>0</v>
      </c>
      <c r="M10" s="86">
        <f>'T8'!BT15</f>
        <v>0</v>
      </c>
      <c r="N10" s="86">
        <f>'T9'!BT15</f>
        <v>0</v>
      </c>
      <c r="O10" s="86">
        <f>'T10'!BT15</f>
        <v>0</v>
      </c>
      <c r="P10" s="86">
        <f>'T11'!BT15</f>
        <v>0</v>
      </c>
      <c r="Q10" s="86">
        <f>'T12'!BT15</f>
        <v>0</v>
      </c>
      <c r="R10" s="86">
        <f t="shared" ref="R10:R48" si="0">SUM(F10:Q10)</f>
        <v>44</v>
      </c>
      <c r="S10" s="88"/>
      <c r="U10" s="81"/>
    </row>
    <row r="11" spans="1:21" x14ac:dyDescent="0.3">
      <c r="A11" s="81"/>
      <c r="C11" s="87">
        <v>3</v>
      </c>
      <c r="D11" s="85" t="str">
        <f>IF(VLOOKUP(C11,DSNV!$C$8:$N$48,3,FALSE)=0,"",VLOOKUP(C11,DSNV!$C$8:$N$48,3,FALSE))</f>
        <v>Nguyễn Thu Hà</v>
      </c>
      <c r="E11" s="84" t="str">
        <f>IF(VLOOKUP(C11,DSNV!$C$8:$N$48,8,FALSE)="","",VLOOKUP(C11,DSNV!$C$8:$N$48,8,FALSE))</f>
        <v>Thành viên</v>
      </c>
      <c r="F11" s="86">
        <f>'T1'!BT16</f>
        <v>16</v>
      </c>
      <c r="G11" s="86">
        <f>'T2'!BT16</f>
        <v>0</v>
      </c>
      <c r="H11" s="86">
        <f>'T3'!BT16</f>
        <v>16</v>
      </c>
      <c r="I11" s="86">
        <f>'T4'!BT16</f>
        <v>20</v>
      </c>
      <c r="J11" s="86">
        <f>'T5'!BT16</f>
        <v>0</v>
      </c>
      <c r="K11" s="86">
        <f>'T6'!BT16</f>
        <v>0</v>
      </c>
      <c r="L11" s="86">
        <f>'T7'!BT16</f>
        <v>0</v>
      </c>
      <c r="M11" s="86">
        <f>'T8'!BT16</f>
        <v>0</v>
      </c>
      <c r="N11" s="86">
        <f>'T9'!BT16</f>
        <v>0</v>
      </c>
      <c r="O11" s="86">
        <f>'T10'!BT16</f>
        <v>0</v>
      </c>
      <c r="P11" s="86">
        <f>'T11'!BT16</f>
        <v>0</v>
      </c>
      <c r="Q11" s="86">
        <f>'T12'!BT16</f>
        <v>0</v>
      </c>
      <c r="R11" s="86">
        <f t="shared" si="0"/>
        <v>52</v>
      </c>
      <c r="S11" s="88"/>
      <c r="U11" s="81"/>
    </row>
    <row r="12" spans="1:21" x14ac:dyDescent="0.3">
      <c r="A12" s="81"/>
      <c r="C12" s="87">
        <v>4</v>
      </c>
      <c r="D12" s="85" t="str">
        <f>IF(VLOOKUP(C12,DSNV!$C$8:$N$48,3,FALSE)=0,"",VLOOKUP(C12,DSNV!$C$8:$N$48,3,FALSE))</f>
        <v>Trương Thị Phú Hiệp</v>
      </c>
      <c r="E12" s="84" t="str">
        <f>IF(VLOOKUP(C12,DSNV!$C$8:$N$48,8,FALSE)="","",VLOOKUP(C12,DSNV!$C$8:$N$48,8,FALSE))</f>
        <v>Thành viên</v>
      </c>
      <c r="F12" s="86">
        <f>'T1'!BT17</f>
        <v>15</v>
      </c>
      <c r="G12" s="86">
        <f>'T2'!BT17</f>
        <v>0</v>
      </c>
      <c r="H12" s="86">
        <f>'T3'!BT17</f>
        <v>11</v>
      </c>
      <c r="I12" s="86">
        <f>'T4'!BT17</f>
        <v>14</v>
      </c>
      <c r="J12" s="86">
        <f>'T5'!BT17</f>
        <v>0</v>
      </c>
      <c r="K12" s="86">
        <f>'T6'!BT17</f>
        <v>0</v>
      </c>
      <c r="L12" s="86">
        <f>'T7'!BT17</f>
        <v>0</v>
      </c>
      <c r="M12" s="86">
        <f>'T8'!BT17</f>
        <v>0</v>
      </c>
      <c r="N12" s="86">
        <f>'T9'!BT17</f>
        <v>0</v>
      </c>
      <c r="O12" s="86">
        <f>'T10'!BT17</f>
        <v>0</v>
      </c>
      <c r="P12" s="86">
        <f>'T11'!BT17</f>
        <v>0</v>
      </c>
      <c r="Q12" s="86">
        <f>'T12'!BT17</f>
        <v>0</v>
      </c>
      <c r="R12" s="86">
        <f t="shared" si="0"/>
        <v>40</v>
      </c>
      <c r="S12" s="88"/>
      <c r="U12" s="81"/>
    </row>
    <row r="13" spans="1:21" x14ac:dyDescent="0.3">
      <c r="A13" s="81"/>
      <c r="C13" s="87">
        <v>5</v>
      </c>
      <c r="D13" s="85" t="str">
        <f>IF(VLOOKUP(C13,DSNV!$C$8:$N$48,3,FALSE)=0,"",VLOOKUP(C13,DSNV!$C$8:$N$48,3,FALSE))</f>
        <v>Nguyễn Thị Bích Hồng</v>
      </c>
      <c r="E13" s="84" t="str">
        <f>IF(VLOOKUP(C13,DSNV!$C$8:$N$48,8,FALSE)="","",VLOOKUP(C13,DSNV!$C$8:$N$48,8,FALSE))</f>
        <v>Thành viên</v>
      </c>
      <c r="F13" s="86">
        <f>'T1'!BT18</f>
        <v>10</v>
      </c>
      <c r="G13" s="86">
        <f>'T2'!BT18</f>
        <v>0</v>
      </c>
      <c r="H13" s="86">
        <f>'T3'!BT18</f>
        <v>11</v>
      </c>
      <c r="I13" s="86">
        <f>'T4'!BT18</f>
        <v>16</v>
      </c>
      <c r="J13" s="86">
        <f>'T5'!BT18</f>
        <v>0</v>
      </c>
      <c r="K13" s="86">
        <f>'T6'!BT18</f>
        <v>0</v>
      </c>
      <c r="L13" s="86">
        <f>'T7'!BT18</f>
        <v>0</v>
      </c>
      <c r="M13" s="86">
        <f>'T8'!BT18</f>
        <v>0</v>
      </c>
      <c r="N13" s="86">
        <f>'T9'!BT18</f>
        <v>0</v>
      </c>
      <c r="O13" s="86">
        <f>'T10'!BT18</f>
        <v>0</v>
      </c>
      <c r="P13" s="86">
        <f>'T11'!BT18</f>
        <v>0</v>
      </c>
      <c r="Q13" s="86">
        <f>'T12'!BT18</f>
        <v>0</v>
      </c>
      <c r="R13" s="86">
        <f t="shared" si="0"/>
        <v>37</v>
      </c>
      <c r="S13" s="88"/>
      <c r="U13" s="81"/>
    </row>
    <row r="14" spans="1:21" x14ac:dyDescent="0.3">
      <c r="A14" s="81"/>
      <c r="C14" s="87">
        <v>6</v>
      </c>
      <c r="D14" s="85" t="str">
        <f>IF(VLOOKUP(C14,DSNV!$C$8:$N$48,3,FALSE)=0,"",VLOOKUP(C14,DSNV!$C$8:$N$48,3,FALSE))</f>
        <v>Phạm Thị Ngọc Hồng</v>
      </c>
      <c r="E14" s="84" t="str">
        <f>IF(VLOOKUP(C14,DSNV!$C$8:$N$48,8,FALSE)="","",VLOOKUP(C14,DSNV!$C$8:$N$48,8,FALSE))</f>
        <v>Thành viên</v>
      </c>
      <c r="F14" s="86">
        <f>'T1'!BT19</f>
        <v>14</v>
      </c>
      <c r="G14" s="86">
        <f>'T2'!BT19</f>
        <v>0</v>
      </c>
      <c r="H14" s="86">
        <f>'T3'!BT19</f>
        <v>14</v>
      </c>
      <c r="I14" s="86">
        <f>'T4'!BT19</f>
        <v>15.5</v>
      </c>
      <c r="J14" s="86">
        <f>'T5'!BT19</f>
        <v>0</v>
      </c>
      <c r="K14" s="86">
        <f>'T6'!BT19</f>
        <v>0</v>
      </c>
      <c r="L14" s="86">
        <f>'T7'!BT19</f>
        <v>0</v>
      </c>
      <c r="M14" s="86">
        <f>'T8'!BT19</f>
        <v>0</v>
      </c>
      <c r="N14" s="86">
        <f>'T9'!BT19</f>
        <v>0</v>
      </c>
      <c r="O14" s="86">
        <f>'T10'!BT19</f>
        <v>0</v>
      </c>
      <c r="P14" s="86">
        <f>'T11'!BT19</f>
        <v>0</v>
      </c>
      <c r="Q14" s="86">
        <f>'T12'!BT19</f>
        <v>0</v>
      </c>
      <c r="R14" s="86">
        <f t="shared" si="0"/>
        <v>43.5</v>
      </c>
      <c r="S14" s="88"/>
      <c r="U14" s="81"/>
    </row>
    <row r="15" spans="1:21" x14ac:dyDescent="0.3">
      <c r="A15" s="81"/>
      <c r="C15" s="87">
        <v>7</v>
      </c>
      <c r="D15" s="85" t="str">
        <f>IF(VLOOKUP(C15,DSNV!$C$8:$N$48,3,FALSE)=0,"",VLOOKUP(C15,DSNV!$C$8:$N$48,3,FALSE))</f>
        <v>Phạm Thị Huệ</v>
      </c>
      <c r="E15" s="84" t="str">
        <f>IF(VLOOKUP(C15,DSNV!$C$8:$N$48,8,FALSE)="","",VLOOKUP(C15,DSNV!$C$8:$N$48,8,FALSE))</f>
        <v>Trưởng ban</v>
      </c>
      <c r="F15" s="86">
        <f>'T1'!BT20</f>
        <v>23</v>
      </c>
      <c r="G15" s="86">
        <f>'T2'!BT20</f>
        <v>0</v>
      </c>
      <c r="H15" s="86">
        <f>'T3'!BT20</f>
        <v>30</v>
      </c>
      <c r="I15" s="86">
        <f>'T4'!BT20</f>
        <v>20.5</v>
      </c>
      <c r="J15" s="86">
        <f>'T5'!BT20</f>
        <v>0</v>
      </c>
      <c r="K15" s="86">
        <f>'T6'!BT20</f>
        <v>0</v>
      </c>
      <c r="L15" s="86">
        <f>'T7'!BT20</f>
        <v>0</v>
      </c>
      <c r="M15" s="86">
        <f>'T8'!BT20</f>
        <v>0</v>
      </c>
      <c r="N15" s="86">
        <f>'T9'!BT20</f>
        <v>0</v>
      </c>
      <c r="O15" s="86">
        <f>'T10'!BT20</f>
        <v>0</v>
      </c>
      <c r="P15" s="86">
        <f>'T11'!BT20</f>
        <v>0</v>
      </c>
      <c r="Q15" s="86">
        <f>'T12'!BT20</f>
        <v>0</v>
      </c>
      <c r="R15" s="86">
        <f t="shared" si="0"/>
        <v>73.5</v>
      </c>
      <c r="S15" s="88"/>
      <c r="U15" s="81"/>
    </row>
    <row r="16" spans="1:21" x14ac:dyDescent="0.3">
      <c r="A16" s="81"/>
      <c r="C16" s="87">
        <v>8</v>
      </c>
      <c r="D16" s="85" t="str">
        <f>IF(VLOOKUP(C16,DSNV!$C$8:$N$48,3,FALSE)=0,"",VLOOKUP(C16,DSNV!$C$8:$N$48,3,FALSE))</f>
        <v>Nguyễn Thị Quỳnh Hương</v>
      </c>
      <c r="E16" s="84" t="str">
        <f>IF(VLOOKUP(C16,DSNV!$C$8:$N$48,8,FALSE)="","",VLOOKUP(C16,DSNV!$C$8:$N$48,8,FALSE))</f>
        <v>Trưởng ban</v>
      </c>
      <c r="F16" s="86">
        <f>'T1'!BT21</f>
        <v>10.5</v>
      </c>
      <c r="G16" s="86">
        <f>'T2'!BT21</f>
        <v>0</v>
      </c>
      <c r="H16" s="86">
        <f>'T3'!BT21</f>
        <v>20</v>
      </c>
      <c r="I16" s="86">
        <f>'T4'!BT21</f>
        <v>11</v>
      </c>
      <c r="J16" s="86">
        <f>'T5'!BT21</f>
        <v>0</v>
      </c>
      <c r="K16" s="86">
        <f>'T6'!BT21</f>
        <v>0</v>
      </c>
      <c r="L16" s="86">
        <f>'T7'!BT21</f>
        <v>0</v>
      </c>
      <c r="M16" s="86">
        <f>'T8'!BT21</f>
        <v>0</v>
      </c>
      <c r="N16" s="86">
        <f>'T9'!BT21</f>
        <v>0</v>
      </c>
      <c r="O16" s="86">
        <f>'T10'!BT21</f>
        <v>0</v>
      </c>
      <c r="P16" s="86">
        <f>'T11'!BT21</f>
        <v>0</v>
      </c>
      <c r="Q16" s="86">
        <f>'T12'!BT21</f>
        <v>0</v>
      </c>
      <c r="R16" s="86">
        <f t="shared" si="0"/>
        <v>41.5</v>
      </c>
      <c r="S16" s="88"/>
      <c r="U16" s="81"/>
    </row>
    <row r="17" spans="1:21" x14ac:dyDescent="0.3">
      <c r="A17" s="81"/>
      <c r="C17" s="87">
        <v>9</v>
      </c>
      <c r="D17" s="85" t="str">
        <f>IF(VLOOKUP(C17,DSNV!$C$8:$N$48,3,FALSE)=0,"",VLOOKUP(C17,DSNV!$C$8:$N$48,3,FALSE))</f>
        <v>Huỳnh Thanh Huyên</v>
      </c>
      <c r="E17" s="84" t="str">
        <f>IF(VLOOKUP(C17,DSNV!$C$8:$N$48,8,FALSE)="","",VLOOKUP(C17,DSNV!$C$8:$N$48,8,FALSE))</f>
        <v>Thành viên</v>
      </c>
      <c r="F17" s="86">
        <f>'T1'!BT22</f>
        <v>10</v>
      </c>
      <c r="G17" s="86">
        <f>'T2'!BT22</f>
        <v>0</v>
      </c>
      <c r="H17" s="86">
        <f>'T3'!BT22</f>
        <v>13</v>
      </c>
      <c r="I17" s="86">
        <f>'T4'!BT22</f>
        <v>8</v>
      </c>
      <c r="J17" s="86">
        <f>'T5'!BT22</f>
        <v>0</v>
      </c>
      <c r="K17" s="86">
        <f>'T6'!BT22</f>
        <v>0</v>
      </c>
      <c r="L17" s="86">
        <f>'T7'!BT22</f>
        <v>0</v>
      </c>
      <c r="M17" s="86">
        <f>'T8'!BT22</f>
        <v>0</v>
      </c>
      <c r="N17" s="86">
        <f>'T9'!BT22</f>
        <v>0</v>
      </c>
      <c r="O17" s="86">
        <f>'T10'!BT22</f>
        <v>0</v>
      </c>
      <c r="P17" s="86">
        <f>'T11'!BT22</f>
        <v>0</v>
      </c>
      <c r="Q17" s="86">
        <f>'T12'!BT22</f>
        <v>0</v>
      </c>
      <c r="R17" s="86">
        <f t="shared" si="0"/>
        <v>31</v>
      </c>
      <c r="S17" s="88"/>
      <c r="U17" s="81"/>
    </row>
    <row r="18" spans="1:21" x14ac:dyDescent="0.3">
      <c r="A18" s="81"/>
      <c r="C18" s="87">
        <v>10</v>
      </c>
      <c r="D18" s="85" t="str">
        <f>IF(VLOOKUP(C18,DSNV!$C$8:$N$48,3,FALSE)=0,"",VLOOKUP(C18,DSNV!$C$8:$N$48,3,FALSE))</f>
        <v>Lê Hữu Di Mi</v>
      </c>
      <c r="E18" s="84" t="str">
        <f>IF(VLOOKUP(C18,DSNV!$C$8:$N$48,8,FALSE)="","",VLOOKUP(C18,DSNV!$C$8:$N$48,8,FALSE))</f>
        <v>Thành viên</v>
      </c>
      <c r="F18" s="86">
        <f>'T1'!BT23</f>
        <v>17</v>
      </c>
      <c r="G18" s="86">
        <f>'T2'!BT23</f>
        <v>0</v>
      </c>
      <c r="H18" s="86">
        <f>'T3'!BT23</f>
        <v>20</v>
      </c>
      <c r="I18" s="86">
        <f>'T4'!BT23</f>
        <v>21</v>
      </c>
      <c r="J18" s="86">
        <f>'T5'!BT23</f>
        <v>0</v>
      </c>
      <c r="K18" s="86">
        <f>'T6'!BT23</f>
        <v>0</v>
      </c>
      <c r="L18" s="86">
        <f>'T7'!BT23</f>
        <v>0</v>
      </c>
      <c r="M18" s="86">
        <f>'T8'!BT23</f>
        <v>0</v>
      </c>
      <c r="N18" s="86">
        <f>'T9'!BT23</f>
        <v>0</v>
      </c>
      <c r="O18" s="86">
        <f>'T10'!BT23</f>
        <v>0</v>
      </c>
      <c r="P18" s="86">
        <f>'T11'!BT23</f>
        <v>0</v>
      </c>
      <c r="Q18" s="86">
        <f>'T12'!BT23</f>
        <v>0</v>
      </c>
      <c r="R18" s="86">
        <f t="shared" si="0"/>
        <v>58</v>
      </c>
      <c r="S18" s="88"/>
      <c r="U18" s="81"/>
    </row>
    <row r="19" spans="1:21" x14ac:dyDescent="0.3">
      <c r="A19" s="81"/>
      <c r="C19" s="87">
        <v>11</v>
      </c>
      <c r="D19" s="85" t="str">
        <f>IF(VLOOKUP(C19,DSNV!$C$8:$N$48,3,FALSE)=0,"",VLOOKUP(C19,DSNV!$C$8:$N$48,3,FALSE))</f>
        <v>Nguyễn Nhựt Minh</v>
      </c>
      <c r="E19" s="84" t="str">
        <f>IF(VLOOKUP(C19,DSNV!$C$8:$N$48,8,FALSE)="","",VLOOKUP(C19,DSNV!$C$8:$N$48,8,FALSE))</f>
        <v>Trưởng ban</v>
      </c>
      <c r="F19" s="86">
        <f>'T1'!BT24</f>
        <v>28</v>
      </c>
      <c r="G19" s="86">
        <f>'T2'!BT24</f>
        <v>0</v>
      </c>
      <c r="H19" s="86">
        <f>'T3'!BT24</f>
        <v>18.5</v>
      </c>
      <c r="I19" s="86">
        <f>'T4'!BT24</f>
        <v>22.5</v>
      </c>
      <c r="J19" s="86">
        <f>'T5'!BT24</f>
        <v>0</v>
      </c>
      <c r="K19" s="86">
        <f>'T6'!BT24</f>
        <v>0</v>
      </c>
      <c r="L19" s="86">
        <f>'T7'!BT24</f>
        <v>0</v>
      </c>
      <c r="M19" s="86">
        <f>'T8'!BT24</f>
        <v>0</v>
      </c>
      <c r="N19" s="86">
        <f>'T9'!BT24</f>
        <v>0</v>
      </c>
      <c r="O19" s="86">
        <f>'T10'!BT24</f>
        <v>0</v>
      </c>
      <c r="P19" s="86">
        <f>'T11'!BT24</f>
        <v>0</v>
      </c>
      <c r="Q19" s="86">
        <f>'T12'!BT24</f>
        <v>0</v>
      </c>
      <c r="R19" s="86">
        <f t="shared" si="0"/>
        <v>69</v>
      </c>
      <c r="S19" s="88"/>
      <c r="U19" s="81"/>
    </row>
    <row r="20" spans="1:21" x14ac:dyDescent="0.3">
      <c r="A20" s="81"/>
      <c r="C20" s="87">
        <v>12</v>
      </c>
      <c r="D20" s="85" t="str">
        <f>IF(VLOOKUP(C20,DSNV!$C$8:$N$48,3,FALSE)=0,"",VLOOKUP(C20,DSNV!$C$8:$N$48,3,FALSE))</f>
        <v>Lê Thảo Nguyên</v>
      </c>
      <c r="E20" s="84" t="str">
        <f>IF(VLOOKUP(C20,DSNV!$C$8:$N$48,8,FALSE)="","",VLOOKUP(C20,DSNV!$C$8:$N$48,8,FALSE))</f>
        <v>Thành viên</v>
      </c>
      <c r="F20" s="86">
        <f>'T1'!BT25</f>
        <v>19</v>
      </c>
      <c r="G20" s="86">
        <f>'T2'!BT25</f>
        <v>0</v>
      </c>
      <c r="H20" s="86">
        <f>'T3'!BT25</f>
        <v>17</v>
      </c>
      <c r="I20" s="86">
        <f>'T4'!BT25</f>
        <v>16</v>
      </c>
      <c r="J20" s="86">
        <f>'T5'!BT25</f>
        <v>0</v>
      </c>
      <c r="K20" s="86">
        <f>'T6'!BT25</f>
        <v>0</v>
      </c>
      <c r="L20" s="86">
        <f>'T7'!BT25</f>
        <v>0</v>
      </c>
      <c r="M20" s="86">
        <f>'T8'!BT25</f>
        <v>0</v>
      </c>
      <c r="N20" s="86">
        <f>'T9'!BT25</f>
        <v>0</v>
      </c>
      <c r="O20" s="86">
        <f>'T10'!BT25</f>
        <v>0</v>
      </c>
      <c r="P20" s="86">
        <f>'T11'!BT25</f>
        <v>0</v>
      </c>
      <c r="Q20" s="86">
        <f>'T12'!BT25</f>
        <v>0</v>
      </c>
      <c r="R20" s="86">
        <f t="shared" si="0"/>
        <v>52</v>
      </c>
      <c r="S20" s="88"/>
      <c r="U20" s="81"/>
    </row>
    <row r="21" spans="1:21" x14ac:dyDescent="0.3">
      <c r="A21" s="81"/>
      <c r="C21" s="87">
        <v>13</v>
      </c>
      <c r="D21" s="85" t="str">
        <f>IF(VLOOKUP(C21,DSNV!$C$8:$N$48,3,FALSE)=0,"",VLOOKUP(C21,DSNV!$C$8:$N$48,3,FALSE))</f>
        <v>Võ Thị Xuân Nữ</v>
      </c>
      <c r="E21" s="84" t="str">
        <f>IF(VLOOKUP(C21,DSNV!$C$8:$N$48,8,FALSE)="","",VLOOKUP(C21,DSNV!$C$8:$N$48,8,FALSE))</f>
        <v>Thành viên</v>
      </c>
      <c r="F21" s="86">
        <f>'T1'!BT26</f>
        <v>10</v>
      </c>
      <c r="G21" s="86">
        <f>'T2'!BT26</f>
        <v>0</v>
      </c>
      <c r="H21" s="86">
        <f>'T3'!BT26</f>
        <v>12</v>
      </c>
      <c r="I21" s="86">
        <f>'T4'!BT26</f>
        <v>15</v>
      </c>
      <c r="J21" s="86">
        <f>'T5'!BT26</f>
        <v>0</v>
      </c>
      <c r="K21" s="86">
        <f>'T6'!BT26</f>
        <v>0</v>
      </c>
      <c r="L21" s="86">
        <f>'T7'!BT26</f>
        <v>0</v>
      </c>
      <c r="M21" s="86">
        <f>'T8'!BT26</f>
        <v>0</v>
      </c>
      <c r="N21" s="86">
        <f>'T9'!BT26</f>
        <v>0</v>
      </c>
      <c r="O21" s="86">
        <f>'T10'!BT26</f>
        <v>0</v>
      </c>
      <c r="P21" s="86">
        <f>'T11'!BT26</f>
        <v>0</v>
      </c>
      <c r="Q21" s="86">
        <f>'T12'!BT26</f>
        <v>0</v>
      </c>
      <c r="R21" s="86">
        <f t="shared" si="0"/>
        <v>37</v>
      </c>
      <c r="S21" s="88"/>
      <c r="U21" s="81"/>
    </row>
    <row r="22" spans="1:21" x14ac:dyDescent="0.3">
      <c r="A22" s="81"/>
      <c r="C22" s="87">
        <v>14</v>
      </c>
      <c r="D22" s="85" t="str">
        <f>IF(VLOOKUP(C22,DSNV!$C$8:$N$48,3,FALSE)=0,"",VLOOKUP(C22,DSNV!$C$8:$N$48,3,FALSE))</f>
        <v>Đỗ Thị Lan Phương</v>
      </c>
      <c r="E22" s="84" t="str">
        <f>IF(VLOOKUP(C22,DSNV!$C$8:$N$48,8,FALSE)="","",VLOOKUP(C22,DSNV!$C$8:$N$48,8,FALSE))</f>
        <v>Thành viên</v>
      </c>
      <c r="F22" s="86">
        <f>'T1'!BT27</f>
        <v>15</v>
      </c>
      <c r="G22" s="86">
        <f>'T2'!BT27</f>
        <v>0</v>
      </c>
      <c r="H22" s="86">
        <f>'T3'!BT27</f>
        <v>8</v>
      </c>
      <c r="I22" s="86">
        <f>'T4'!BT27</f>
        <v>16</v>
      </c>
      <c r="J22" s="86">
        <f>'T5'!BT27</f>
        <v>0</v>
      </c>
      <c r="K22" s="86">
        <f>'T6'!BT27</f>
        <v>0</v>
      </c>
      <c r="L22" s="86">
        <f>'T7'!BT27</f>
        <v>0</v>
      </c>
      <c r="M22" s="86">
        <f>'T8'!BT27</f>
        <v>0</v>
      </c>
      <c r="N22" s="86">
        <f>'T9'!BT27</f>
        <v>0</v>
      </c>
      <c r="O22" s="86">
        <f>'T10'!BT27</f>
        <v>0</v>
      </c>
      <c r="P22" s="86">
        <f>'T11'!BT27</f>
        <v>0</v>
      </c>
      <c r="Q22" s="86">
        <f>'T12'!BT27</f>
        <v>0</v>
      </c>
      <c r="R22" s="86">
        <f t="shared" si="0"/>
        <v>39</v>
      </c>
      <c r="S22" s="88"/>
      <c r="U22" s="81"/>
    </row>
    <row r="23" spans="1:21" x14ac:dyDescent="0.3">
      <c r="A23" s="81"/>
      <c r="C23" s="87">
        <v>15</v>
      </c>
      <c r="D23" s="85" t="str">
        <f>IF(VLOOKUP(C23,DSNV!$C$8:$N$48,3,FALSE)=0,"",VLOOKUP(C23,DSNV!$C$8:$N$48,3,FALSE))</f>
        <v>Nguyễn Thị Nhã Quyên</v>
      </c>
      <c r="E23" s="84" t="str">
        <f>IF(VLOOKUP(C23,DSNV!$C$8:$N$48,8,FALSE)="","",VLOOKUP(C23,DSNV!$C$8:$N$48,8,FALSE))</f>
        <v>Thành viên</v>
      </c>
      <c r="F23" s="86">
        <f>'T1'!BT28</f>
        <v>17</v>
      </c>
      <c r="G23" s="86">
        <f>'T2'!BT28</f>
        <v>0</v>
      </c>
      <c r="H23" s="86">
        <f>'T3'!BT28</f>
        <v>0</v>
      </c>
      <c r="I23" s="86">
        <f>'T4'!BT28</f>
        <v>0</v>
      </c>
      <c r="J23" s="86">
        <f>'T5'!BT28</f>
        <v>0</v>
      </c>
      <c r="K23" s="86">
        <f>'T6'!BT28</f>
        <v>0</v>
      </c>
      <c r="L23" s="86">
        <f>'T7'!BT28</f>
        <v>0</v>
      </c>
      <c r="M23" s="86">
        <f>'T8'!BT28</f>
        <v>0</v>
      </c>
      <c r="N23" s="86">
        <f>'T9'!BT28</f>
        <v>0</v>
      </c>
      <c r="O23" s="86">
        <f>'T10'!BT28</f>
        <v>0</v>
      </c>
      <c r="P23" s="86">
        <f>'T11'!BT28</f>
        <v>0</v>
      </c>
      <c r="Q23" s="86">
        <f>'T12'!BT28</f>
        <v>0</v>
      </c>
      <c r="R23" s="86">
        <f t="shared" si="0"/>
        <v>17</v>
      </c>
      <c r="S23" s="88"/>
      <c r="U23" s="81"/>
    </row>
    <row r="24" spans="1:21" x14ac:dyDescent="0.3">
      <c r="A24" s="81"/>
      <c r="C24" s="87">
        <v>16</v>
      </c>
      <c r="D24" s="85" t="str">
        <f>IF(VLOOKUP(C24,DSNV!$C$8:$N$48,3,FALSE)=0,"",VLOOKUP(C24,DSNV!$C$8:$N$48,3,FALSE))</f>
        <v>Nguyễn Đức Vĩnh Thắng</v>
      </c>
      <c r="E24" s="84" t="str">
        <f>IF(VLOOKUP(C24,DSNV!$C$8:$N$48,8,FALSE)="","",VLOOKUP(C24,DSNV!$C$8:$N$48,8,FALSE))</f>
        <v>Trưởng ban</v>
      </c>
      <c r="F24" s="86">
        <f>'T1'!BT29</f>
        <v>14.5</v>
      </c>
      <c r="G24" s="86">
        <f>'T2'!BT29</f>
        <v>0</v>
      </c>
      <c r="H24" s="86">
        <f>'T3'!BT29</f>
        <v>17</v>
      </c>
      <c r="I24" s="86">
        <f>'T4'!BT29</f>
        <v>14</v>
      </c>
      <c r="J24" s="86">
        <f>'T5'!BT29</f>
        <v>0</v>
      </c>
      <c r="K24" s="86">
        <f>'T6'!BT29</f>
        <v>0</v>
      </c>
      <c r="L24" s="86">
        <f>'T7'!BT29</f>
        <v>0</v>
      </c>
      <c r="M24" s="86">
        <f>'T8'!BT29</f>
        <v>0</v>
      </c>
      <c r="N24" s="86">
        <f>'T9'!BT29</f>
        <v>0</v>
      </c>
      <c r="O24" s="86">
        <f>'T10'!BT29</f>
        <v>0</v>
      </c>
      <c r="P24" s="86">
        <f>'T11'!BT29</f>
        <v>0</v>
      </c>
      <c r="Q24" s="86">
        <f>'T12'!BT29</f>
        <v>0</v>
      </c>
      <c r="R24" s="86">
        <f t="shared" si="0"/>
        <v>45.5</v>
      </c>
      <c r="S24" s="88"/>
      <c r="U24" s="81"/>
    </row>
    <row r="25" spans="1:21" x14ac:dyDescent="0.3">
      <c r="A25" s="81"/>
      <c r="C25" s="87">
        <v>17</v>
      </c>
      <c r="D25" s="85" t="str">
        <f>IF(VLOOKUP(C25,DSNV!$C$8:$N$48,3,FALSE)=0,"",VLOOKUP(C25,DSNV!$C$8:$N$48,3,FALSE))</f>
        <v>Nguyễn Thành Tiến</v>
      </c>
      <c r="E25" s="84" t="str">
        <f>IF(VLOOKUP(C25,DSNV!$C$8:$N$48,8,FALSE)="","",VLOOKUP(C25,DSNV!$C$8:$N$48,8,FALSE))</f>
        <v>Thành viên</v>
      </c>
      <c r="F25" s="86">
        <f>'T1'!BT30</f>
        <v>17</v>
      </c>
      <c r="G25" s="86">
        <f>'T2'!BT30</f>
        <v>0</v>
      </c>
      <c r="H25" s="86">
        <f>'T3'!BT30</f>
        <v>11</v>
      </c>
      <c r="I25" s="86">
        <f>'T4'!BT30</f>
        <v>11</v>
      </c>
      <c r="J25" s="86">
        <f>'T5'!BT30</f>
        <v>0</v>
      </c>
      <c r="K25" s="86">
        <f>'T6'!BT30</f>
        <v>0</v>
      </c>
      <c r="L25" s="86">
        <f>'T7'!BT30</f>
        <v>0</v>
      </c>
      <c r="M25" s="86">
        <f>'T8'!BT30</f>
        <v>0</v>
      </c>
      <c r="N25" s="86">
        <f>'T9'!BT30</f>
        <v>0</v>
      </c>
      <c r="O25" s="86">
        <f>'T10'!BT30</f>
        <v>0</v>
      </c>
      <c r="P25" s="86">
        <f>'T11'!BT30</f>
        <v>0</v>
      </c>
      <c r="Q25" s="86">
        <f>'T12'!BT30</f>
        <v>0</v>
      </c>
      <c r="R25" s="86">
        <f t="shared" si="0"/>
        <v>39</v>
      </c>
      <c r="S25" s="88"/>
      <c r="U25" s="81"/>
    </row>
    <row r="26" spans="1:21" x14ac:dyDescent="0.3">
      <c r="A26" s="81"/>
      <c r="C26" s="87">
        <v>18</v>
      </c>
      <c r="D26" s="85" t="str">
        <f>IF(VLOOKUP(C26,DSNV!$C$8:$N$48,3,FALSE)=0,"",VLOOKUP(C26,DSNV!$C$8:$N$48,3,FALSE))</f>
        <v>Trần Thị Trúc</v>
      </c>
      <c r="E26" s="84" t="str">
        <f>IF(VLOOKUP(C26,DSNV!$C$8:$N$48,8,FALSE)="","",VLOOKUP(C26,DSNV!$C$8:$N$48,8,FALSE))</f>
        <v>Thành viên</v>
      </c>
      <c r="F26" s="86">
        <f>'T1'!BT31</f>
        <v>10</v>
      </c>
      <c r="G26" s="86">
        <f>'T2'!BT31</f>
        <v>0</v>
      </c>
      <c r="H26" s="86">
        <f>'T3'!BT31</f>
        <v>11.5</v>
      </c>
      <c r="I26" s="86">
        <f>'T4'!BT31</f>
        <v>16.5</v>
      </c>
      <c r="J26" s="86">
        <f>'T5'!BT31</f>
        <v>0</v>
      </c>
      <c r="K26" s="86">
        <f>'T6'!BT31</f>
        <v>0</v>
      </c>
      <c r="L26" s="86">
        <f>'T7'!BT31</f>
        <v>0</v>
      </c>
      <c r="M26" s="86">
        <f>'T8'!BT31</f>
        <v>0</v>
      </c>
      <c r="N26" s="86">
        <f>'T9'!BT31</f>
        <v>0</v>
      </c>
      <c r="O26" s="86">
        <f>'T10'!BT31</f>
        <v>0</v>
      </c>
      <c r="P26" s="86">
        <f>'T11'!BT31</f>
        <v>0</v>
      </c>
      <c r="Q26" s="86">
        <f>'T12'!BT31</f>
        <v>0</v>
      </c>
      <c r="R26" s="86">
        <f t="shared" si="0"/>
        <v>38</v>
      </c>
      <c r="S26" s="88"/>
      <c r="U26" s="81"/>
    </row>
    <row r="27" spans="1:21" x14ac:dyDescent="0.3">
      <c r="A27" s="81"/>
      <c r="C27" s="87">
        <v>19</v>
      </c>
      <c r="D27" s="85" t="str">
        <f>IF(VLOOKUP(C27,DSNV!$C$8:$N$48,3,FALSE)=0,"",VLOOKUP(C27,DSNV!$C$8:$N$48,3,FALSE))</f>
        <v>Bùi Hoàng Trung</v>
      </c>
      <c r="E27" s="84" t="str">
        <f>IF(VLOOKUP(C27,DSNV!$C$8:$N$48,8,FALSE)="","",VLOOKUP(C27,DSNV!$C$8:$N$48,8,FALSE))</f>
        <v>Thành viên</v>
      </c>
      <c r="F27" s="86">
        <f>'T1'!BT32</f>
        <v>8</v>
      </c>
      <c r="G27" s="86">
        <f>'T2'!BT32</f>
        <v>0</v>
      </c>
      <c r="H27" s="86">
        <f>'T3'!BT32</f>
        <v>0</v>
      </c>
      <c r="I27" s="86">
        <f>'T4'!BT32</f>
        <v>0</v>
      </c>
      <c r="J27" s="86">
        <f>'T5'!BT32</f>
        <v>0</v>
      </c>
      <c r="K27" s="86">
        <f>'T6'!BT32</f>
        <v>0</v>
      </c>
      <c r="L27" s="86">
        <f>'T7'!BT32</f>
        <v>0</v>
      </c>
      <c r="M27" s="86">
        <f>'T8'!BT32</f>
        <v>0</v>
      </c>
      <c r="N27" s="86">
        <f>'T9'!BT32</f>
        <v>0</v>
      </c>
      <c r="O27" s="86">
        <f>'T10'!BT32</f>
        <v>0</v>
      </c>
      <c r="P27" s="86">
        <f>'T11'!BT32</f>
        <v>0</v>
      </c>
      <c r="Q27" s="86">
        <f>'T12'!BT32</f>
        <v>0</v>
      </c>
      <c r="R27" s="86">
        <f t="shared" si="0"/>
        <v>8</v>
      </c>
      <c r="S27" s="88"/>
      <c r="U27" s="81"/>
    </row>
    <row r="28" spans="1:21" x14ac:dyDescent="0.3">
      <c r="A28" s="81"/>
      <c r="C28" s="87">
        <v>20</v>
      </c>
      <c r="D28" s="85" t="str">
        <f>IF(VLOOKUP(C28,DSNV!$C$8:$N$48,3,FALSE)=0,"",VLOOKUP(C28,DSNV!$C$8:$N$48,3,FALSE))</f>
        <v>Ngô Trúc Tường Vy</v>
      </c>
      <c r="E28" s="84" t="str">
        <f>IF(VLOOKUP(C28,DSNV!$C$8:$N$48,8,FALSE)="","",VLOOKUP(C28,DSNV!$C$8:$N$48,8,FALSE))</f>
        <v>Trưởng ban</v>
      </c>
      <c r="F28" s="86">
        <f>'T1'!BT33</f>
        <v>8</v>
      </c>
      <c r="G28" s="86">
        <f>'T2'!BT33</f>
        <v>0</v>
      </c>
      <c r="H28" s="86">
        <f>'T3'!BT33</f>
        <v>13</v>
      </c>
      <c r="I28" s="86">
        <f>'T4'!BT33</f>
        <v>9</v>
      </c>
      <c r="J28" s="86">
        <f>'T5'!BT33</f>
        <v>0</v>
      </c>
      <c r="K28" s="86">
        <f>'T6'!BT33</f>
        <v>0</v>
      </c>
      <c r="L28" s="86">
        <f>'T7'!BT33</f>
        <v>0</v>
      </c>
      <c r="M28" s="86">
        <f>'T8'!BT33</f>
        <v>0</v>
      </c>
      <c r="N28" s="86">
        <f>'T9'!BT33</f>
        <v>0</v>
      </c>
      <c r="O28" s="86">
        <f>'T10'!BT33</f>
        <v>0</v>
      </c>
      <c r="P28" s="86">
        <f>'T11'!BT33</f>
        <v>0</v>
      </c>
      <c r="Q28" s="86">
        <f>'T12'!BT33</f>
        <v>0</v>
      </c>
      <c r="R28" s="86">
        <f t="shared" si="0"/>
        <v>30</v>
      </c>
      <c r="S28" s="88"/>
      <c r="U28" s="81"/>
    </row>
    <row r="29" spans="1:21" x14ac:dyDescent="0.3">
      <c r="A29" s="81"/>
      <c r="C29" s="87">
        <v>21</v>
      </c>
      <c r="D29" s="85" t="str">
        <f>IF(VLOOKUP(C29,DSNV!$C$8:$N$48,3,FALSE)=0,"",VLOOKUP(C29,DSNV!$C$8:$N$48,3,FALSE))</f>
        <v/>
      </c>
      <c r="E29" s="84" t="str">
        <f>IF(VLOOKUP(C29,DSNV!$C$8:$N$48,8,FALSE)="","",VLOOKUP(C29,DSNV!$C$8:$N$48,8,FALSE))</f>
        <v/>
      </c>
      <c r="F29" s="86">
        <f>'T1'!BT34</f>
        <v>0</v>
      </c>
      <c r="G29" s="86">
        <f>'T2'!BT34</f>
        <v>0</v>
      </c>
      <c r="H29" s="86">
        <f>'T3'!BT34</f>
        <v>0</v>
      </c>
      <c r="I29" s="86">
        <f>'T4'!BT34</f>
        <v>0</v>
      </c>
      <c r="J29" s="86">
        <f>'T5'!BT34</f>
        <v>0</v>
      </c>
      <c r="K29" s="86">
        <f>'T6'!BT34</f>
        <v>0</v>
      </c>
      <c r="L29" s="86">
        <f>'T7'!BT34</f>
        <v>0</v>
      </c>
      <c r="M29" s="86">
        <f>'T8'!BT34</f>
        <v>0</v>
      </c>
      <c r="N29" s="86">
        <f>'T9'!BT34</f>
        <v>0</v>
      </c>
      <c r="O29" s="86">
        <f>'T10'!BT34</f>
        <v>0</v>
      </c>
      <c r="P29" s="86">
        <f>'T11'!BT34</f>
        <v>0</v>
      </c>
      <c r="Q29" s="86">
        <f>'T12'!BT34</f>
        <v>0</v>
      </c>
      <c r="R29" s="86">
        <f t="shared" si="0"/>
        <v>0</v>
      </c>
      <c r="S29" s="88"/>
      <c r="U29" s="81"/>
    </row>
    <row r="30" spans="1:21" x14ac:dyDescent="0.3">
      <c r="A30" s="81"/>
      <c r="C30" s="87">
        <v>22</v>
      </c>
      <c r="D30" s="85" t="str">
        <f>IF(VLOOKUP(C30,DSNV!$C$8:$N$48,3,FALSE)=0,"",VLOOKUP(C30,DSNV!$C$8:$N$48,3,FALSE))</f>
        <v/>
      </c>
      <c r="E30" s="84" t="str">
        <f>IF(VLOOKUP(C30,DSNV!$C$8:$N$48,8,FALSE)="","",VLOOKUP(C30,DSNV!$C$8:$N$48,8,FALSE))</f>
        <v/>
      </c>
      <c r="F30" s="86">
        <f>'T1'!BT35</f>
        <v>0</v>
      </c>
      <c r="G30" s="86">
        <f>'T2'!BT35</f>
        <v>0</v>
      </c>
      <c r="H30" s="86">
        <f>'T3'!BT35</f>
        <v>0</v>
      </c>
      <c r="I30" s="86">
        <f>'T4'!BT35</f>
        <v>0</v>
      </c>
      <c r="J30" s="86">
        <f>'T5'!BT35</f>
        <v>0</v>
      </c>
      <c r="K30" s="86">
        <f>'T6'!BT35</f>
        <v>0</v>
      </c>
      <c r="L30" s="86">
        <f>'T7'!BT35</f>
        <v>0</v>
      </c>
      <c r="M30" s="86">
        <f>'T8'!BT35</f>
        <v>0</v>
      </c>
      <c r="N30" s="86">
        <f>'T9'!BT35</f>
        <v>0</v>
      </c>
      <c r="O30" s="86">
        <f>'T10'!BT35</f>
        <v>0</v>
      </c>
      <c r="P30" s="86">
        <f>'T11'!BT35</f>
        <v>0</v>
      </c>
      <c r="Q30" s="86">
        <f>'T12'!BT35</f>
        <v>0</v>
      </c>
      <c r="R30" s="86">
        <f t="shared" si="0"/>
        <v>0</v>
      </c>
      <c r="S30" s="88"/>
      <c r="U30" s="81"/>
    </row>
    <row r="31" spans="1:21" x14ac:dyDescent="0.3">
      <c r="A31" s="81"/>
      <c r="C31" s="87">
        <v>23</v>
      </c>
      <c r="D31" s="85" t="str">
        <f>IF(VLOOKUP(C31,DSNV!$C$8:$N$48,3,FALSE)=0,"",VLOOKUP(C31,DSNV!$C$8:$N$48,3,FALSE))</f>
        <v/>
      </c>
      <c r="E31" s="84" t="str">
        <f>IF(VLOOKUP(C31,DSNV!$C$8:$N$48,8,FALSE)="","",VLOOKUP(C31,DSNV!$C$8:$N$48,8,FALSE))</f>
        <v/>
      </c>
      <c r="F31" s="86">
        <f>'T1'!BT36</f>
        <v>0</v>
      </c>
      <c r="G31" s="86">
        <f>'T2'!BT36</f>
        <v>0</v>
      </c>
      <c r="H31" s="86">
        <f>'T3'!BT36</f>
        <v>0</v>
      </c>
      <c r="I31" s="86">
        <f>'T4'!BT36</f>
        <v>0</v>
      </c>
      <c r="J31" s="86">
        <f>'T5'!BT36</f>
        <v>0</v>
      </c>
      <c r="K31" s="86">
        <f>'T6'!BT36</f>
        <v>0</v>
      </c>
      <c r="L31" s="86">
        <f>'T7'!BT36</f>
        <v>0</v>
      </c>
      <c r="M31" s="86">
        <f>'T8'!BT36</f>
        <v>0</v>
      </c>
      <c r="N31" s="86">
        <f>'T9'!BT36</f>
        <v>0</v>
      </c>
      <c r="O31" s="86">
        <f>'T10'!BT36</f>
        <v>0</v>
      </c>
      <c r="P31" s="86">
        <f>'T11'!BT36</f>
        <v>0</v>
      </c>
      <c r="Q31" s="86">
        <f>'T12'!BT36</f>
        <v>0</v>
      </c>
      <c r="R31" s="86">
        <f t="shared" si="0"/>
        <v>0</v>
      </c>
      <c r="S31" s="88"/>
      <c r="U31" s="81"/>
    </row>
    <row r="32" spans="1:21" x14ac:dyDescent="0.3">
      <c r="A32" s="81"/>
      <c r="C32" s="87">
        <v>24</v>
      </c>
      <c r="D32" s="85" t="str">
        <f>IF(VLOOKUP(C32,DSNV!$C$8:$N$48,3,FALSE)=0,"",VLOOKUP(C32,DSNV!$C$8:$N$48,3,FALSE))</f>
        <v/>
      </c>
      <c r="E32" s="84" t="str">
        <f>IF(VLOOKUP(C32,DSNV!$C$8:$N$48,8,FALSE)="","",VLOOKUP(C32,DSNV!$C$8:$N$48,8,FALSE))</f>
        <v/>
      </c>
      <c r="F32" s="86">
        <f>'T1'!BT37</f>
        <v>0</v>
      </c>
      <c r="G32" s="86">
        <f>'T2'!BT37</f>
        <v>0</v>
      </c>
      <c r="H32" s="86">
        <f>'T3'!BT37</f>
        <v>0</v>
      </c>
      <c r="I32" s="86">
        <f>'T4'!BT37</f>
        <v>0</v>
      </c>
      <c r="J32" s="86">
        <f>'T5'!BT37</f>
        <v>0</v>
      </c>
      <c r="K32" s="86">
        <f>'T6'!BT37</f>
        <v>0</v>
      </c>
      <c r="L32" s="86">
        <f>'T7'!BT37</f>
        <v>0</v>
      </c>
      <c r="M32" s="86">
        <f>'T8'!BT37</f>
        <v>0</v>
      </c>
      <c r="N32" s="86">
        <f>'T9'!BT37</f>
        <v>0</v>
      </c>
      <c r="O32" s="86">
        <f>'T10'!BT37</f>
        <v>0</v>
      </c>
      <c r="P32" s="86">
        <f>'T11'!BT37</f>
        <v>0</v>
      </c>
      <c r="Q32" s="86">
        <f>'T12'!BT37</f>
        <v>0</v>
      </c>
      <c r="R32" s="86">
        <f t="shared" si="0"/>
        <v>0</v>
      </c>
      <c r="S32" s="88"/>
      <c r="U32" s="81"/>
    </row>
    <row r="33" spans="1:21" x14ac:dyDescent="0.3">
      <c r="A33" s="81"/>
      <c r="C33" s="87">
        <v>25</v>
      </c>
      <c r="D33" s="85" t="str">
        <f>IF(VLOOKUP(C33,DSNV!$C$8:$N$48,3,FALSE)=0,"",VLOOKUP(C33,DSNV!$C$8:$N$48,3,FALSE))</f>
        <v/>
      </c>
      <c r="E33" s="84" t="str">
        <f>IF(VLOOKUP(C33,DSNV!$C$8:$N$48,8,FALSE)="","",VLOOKUP(C33,DSNV!$C$8:$N$48,8,FALSE))</f>
        <v/>
      </c>
      <c r="F33" s="86">
        <f>'T1'!BT38</f>
        <v>0</v>
      </c>
      <c r="G33" s="86">
        <f>'T2'!BT38</f>
        <v>0</v>
      </c>
      <c r="H33" s="86">
        <f>'T3'!BT38</f>
        <v>0</v>
      </c>
      <c r="I33" s="86">
        <f>'T4'!BT38</f>
        <v>0</v>
      </c>
      <c r="J33" s="86">
        <f>'T5'!BT38</f>
        <v>0</v>
      </c>
      <c r="K33" s="86">
        <f>'T6'!BT38</f>
        <v>0</v>
      </c>
      <c r="L33" s="86">
        <f>'T7'!BT38</f>
        <v>0</v>
      </c>
      <c r="M33" s="86">
        <f>'T8'!BT38</f>
        <v>0</v>
      </c>
      <c r="N33" s="86">
        <f>'T9'!BT38</f>
        <v>0</v>
      </c>
      <c r="O33" s="86">
        <f>'T10'!BT38</f>
        <v>0</v>
      </c>
      <c r="P33" s="86">
        <f>'T11'!BT38</f>
        <v>0</v>
      </c>
      <c r="Q33" s="86">
        <f>'T12'!BT38</f>
        <v>0</v>
      </c>
      <c r="R33" s="86">
        <f t="shared" si="0"/>
        <v>0</v>
      </c>
      <c r="S33" s="88"/>
      <c r="U33" s="81"/>
    </row>
    <row r="34" spans="1:21" x14ac:dyDescent="0.3">
      <c r="A34" s="81"/>
      <c r="C34" s="87">
        <v>26</v>
      </c>
      <c r="D34" s="85" t="str">
        <f>IF(VLOOKUP(C34,DSNV!$C$8:$N$48,3,FALSE)=0,"",VLOOKUP(C34,DSNV!$C$8:$N$48,3,FALSE))</f>
        <v/>
      </c>
      <c r="E34" s="84" t="str">
        <f>IF(VLOOKUP(C34,DSNV!$C$8:$N$48,8,FALSE)="","",VLOOKUP(C34,DSNV!$C$8:$N$48,8,FALSE))</f>
        <v/>
      </c>
      <c r="F34" s="86">
        <f>'T1'!BT39</f>
        <v>0</v>
      </c>
      <c r="G34" s="86">
        <f>'T2'!BT39</f>
        <v>0</v>
      </c>
      <c r="H34" s="86">
        <f>'T3'!BT39</f>
        <v>0</v>
      </c>
      <c r="I34" s="86">
        <f>'T4'!BT39</f>
        <v>0</v>
      </c>
      <c r="J34" s="86">
        <f>'T5'!BT39</f>
        <v>0</v>
      </c>
      <c r="K34" s="86">
        <f>'T6'!BT39</f>
        <v>0</v>
      </c>
      <c r="L34" s="86">
        <f>'T7'!BT39</f>
        <v>0</v>
      </c>
      <c r="M34" s="86">
        <f>'T8'!BT39</f>
        <v>0</v>
      </c>
      <c r="N34" s="86">
        <f>'T9'!BT39</f>
        <v>0</v>
      </c>
      <c r="O34" s="86">
        <f>'T10'!BT39</f>
        <v>0</v>
      </c>
      <c r="P34" s="86">
        <f>'T11'!BT39</f>
        <v>0</v>
      </c>
      <c r="Q34" s="86">
        <f>'T12'!BT39</f>
        <v>0</v>
      </c>
      <c r="R34" s="86">
        <f t="shared" si="0"/>
        <v>0</v>
      </c>
      <c r="S34" s="88"/>
      <c r="U34" s="81"/>
    </row>
    <row r="35" spans="1:21" x14ac:dyDescent="0.3">
      <c r="A35" s="81"/>
      <c r="C35" s="87">
        <v>27</v>
      </c>
      <c r="D35" s="85" t="str">
        <f>IF(VLOOKUP(C35,DSNV!$C$8:$N$48,3,FALSE)=0,"",VLOOKUP(C35,DSNV!$C$8:$N$48,3,FALSE))</f>
        <v/>
      </c>
      <c r="E35" s="84" t="str">
        <f>IF(VLOOKUP(C35,DSNV!$C$8:$N$48,8,FALSE)="","",VLOOKUP(C35,DSNV!$C$8:$N$48,8,FALSE))</f>
        <v/>
      </c>
      <c r="F35" s="86">
        <f>'T1'!BT40</f>
        <v>0</v>
      </c>
      <c r="G35" s="86">
        <f>'T2'!BT40</f>
        <v>0</v>
      </c>
      <c r="H35" s="86">
        <f>'T3'!BT40</f>
        <v>0</v>
      </c>
      <c r="I35" s="86">
        <f>'T4'!BT40</f>
        <v>0</v>
      </c>
      <c r="J35" s="86">
        <f>'T5'!BT40</f>
        <v>0</v>
      </c>
      <c r="K35" s="86">
        <f>'T6'!BT40</f>
        <v>0</v>
      </c>
      <c r="L35" s="86">
        <f>'T7'!BT40</f>
        <v>0</v>
      </c>
      <c r="M35" s="86">
        <f>'T8'!BT40</f>
        <v>0</v>
      </c>
      <c r="N35" s="86">
        <f>'T9'!BT40</f>
        <v>0</v>
      </c>
      <c r="O35" s="86">
        <f>'T10'!BT40</f>
        <v>0</v>
      </c>
      <c r="P35" s="86">
        <f>'T11'!BT40</f>
        <v>0</v>
      </c>
      <c r="Q35" s="86">
        <f>'T12'!BT40</f>
        <v>0</v>
      </c>
      <c r="R35" s="86">
        <f t="shared" si="0"/>
        <v>0</v>
      </c>
      <c r="S35" s="88"/>
      <c r="U35" s="81"/>
    </row>
    <row r="36" spans="1:21" x14ac:dyDescent="0.3">
      <c r="A36" s="81"/>
      <c r="C36" s="87">
        <v>28</v>
      </c>
      <c r="D36" s="85" t="str">
        <f>IF(VLOOKUP(C36,DSNV!$C$8:$N$48,3,FALSE)=0,"",VLOOKUP(C36,DSNV!$C$8:$N$48,3,FALSE))</f>
        <v/>
      </c>
      <c r="E36" s="84" t="str">
        <f>IF(VLOOKUP(C36,DSNV!$C$8:$N$48,8,FALSE)="","",VLOOKUP(C36,DSNV!$C$8:$N$48,8,FALSE))</f>
        <v/>
      </c>
      <c r="F36" s="86">
        <f>'T1'!BT41</f>
        <v>0</v>
      </c>
      <c r="G36" s="86">
        <f>'T2'!BT41</f>
        <v>0</v>
      </c>
      <c r="H36" s="86">
        <f>'T3'!BT41</f>
        <v>0</v>
      </c>
      <c r="I36" s="86">
        <f>'T4'!BT41</f>
        <v>0</v>
      </c>
      <c r="J36" s="86">
        <f>'T5'!BT41</f>
        <v>0</v>
      </c>
      <c r="K36" s="86">
        <f>'T6'!BT41</f>
        <v>0</v>
      </c>
      <c r="L36" s="86">
        <f>'T7'!BT41</f>
        <v>0</v>
      </c>
      <c r="M36" s="86">
        <f>'T8'!BT41</f>
        <v>0</v>
      </c>
      <c r="N36" s="86">
        <f>'T9'!BT41</f>
        <v>0</v>
      </c>
      <c r="O36" s="86">
        <f>'T10'!BT41</f>
        <v>0</v>
      </c>
      <c r="P36" s="86">
        <f>'T11'!BT41</f>
        <v>0</v>
      </c>
      <c r="Q36" s="86">
        <f>'T12'!BT41</f>
        <v>0</v>
      </c>
      <c r="R36" s="86">
        <f t="shared" si="0"/>
        <v>0</v>
      </c>
      <c r="S36" s="88"/>
      <c r="U36" s="81"/>
    </row>
    <row r="37" spans="1:21" x14ac:dyDescent="0.3">
      <c r="A37" s="81"/>
      <c r="C37" s="87">
        <v>29</v>
      </c>
      <c r="D37" s="85" t="str">
        <f>IF(VLOOKUP(C37,DSNV!$C$8:$N$48,3,FALSE)=0,"",VLOOKUP(C37,DSNV!$C$8:$N$48,3,FALSE))</f>
        <v/>
      </c>
      <c r="E37" s="84" t="str">
        <f>IF(VLOOKUP(C37,DSNV!$C$8:$N$48,8,FALSE)="","",VLOOKUP(C37,DSNV!$C$8:$N$48,8,FALSE))</f>
        <v/>
      </c>
      <c r="F37" s="86">
        <f>'T1'!BT42</f>
        <v>0</v>
      </c>
      <c r="G37" s="86">
        <f>'T2'!BT42</f>
        <v>0</v>
      </c>
      <c r="H37" s="86">
        <f>'T3'!BT42</f>
        <v>0</v>
      </c>
      <c r="I37" s="86">
        <f>'T4'!BT42</f>
        <v>0</v>
      </c>
      <c r="J37" s="86">
        <f>'T5'!BT42</f>
        <v>0</v>
      </c>
      <c r="K37" s="86">
        <f>'T6'!BT42</f>
        <v>0</v>
      </c>
      <c r="L37" s="86">
        <f>'T7'!BT42</f>
        <v>0</v>
      </c>
      <c r="M37" s="86">
        <f>'T8'!BT42</f>
        <v>0</v>
      </c>
      <c r="N37" s="86">
        <f>'T9'!BT42</f>
        <v>0</v>
      </c>
      <c r="O37" s="86">
        <f>'T10'!BT42</f>
        <v>0</v>
      </c>
      <c r="P37" s="86">
        <f>'T11'!BT42</f>
        <v>0</v>
      </c>
      <c r="Q37" s="86">
        <f>'T12'!BT42</f>
        <v>0</v>
      </c>
      <c r="R37" s="86">
        <f t="shared" si="0"/>
        <v>0</v>
      </c>
      <c r="S37" s="88"/>
      <c r="U37" s="81"/>
    </row>
    <row r="38" spans="1:21" x14ac:dyDescent="0.3">
      <c r="A38" s="81"/>
      <c r="C38" s="87">
        <v>30</v>
      </c>
      <c r="D38" s="85" t="str">
        <f>IF(VLOOKUP(C38,DSNV!$C$8:$N$48,3,FALSE)=0,"",VLOOKUP(C38,DSNV!$C$8:$N$48,3,FALSE))</f>
        <v/>
      </c>
      <c r="E38" s="84" t="str">
        <f>IF(VLOOKUP(C38,DSNV!$C$8:$N$48,8,FALSE)="","",VLOOKUP(C38,DSNV!$C$8:$N$48,8,FALSE))</f>
        <v/>
      </c>
      <c r="F38" s="86">
        <f>'T1'!BT43</f>
        <v>0</v>
      </c>
      <c r="G38" s="86">
        <f>'T2'!BT43</f>
        <v>0</v>
      </c>
      <c r="H38" s="86">
        <f>'T3'!BT43</f>
        <v>0</v>
      </c>
      <c r="I38" s="86">
        <f>'T4'!BT43</f>
        <v>0</v>
      </c>
      <c r="J38" s="86">
        <f>'T5'!BT43</f>
        <v>0</v>
      </c>
      <c r="K38" s="86">
        <f>'T6'!BT43</f>
        <v>0</v>
      </c>
      <c r="L38" s="86">
        <f>'T7'!BT43</f>
        <v>0</v>
      </c>
      <c r="M38" s="86">
        <f>'T8'!BT43</f>
        <v>0</v>
      </c>
      <c r="N38" s="86">
        <f>'T9'!BT43</f>
        <v>0</v>
      </c>
      <c r="O38" s="86">
        <f>'T10'!BT43</f>
        <v>0</v>
      </c>
      <c r="P38" s="86">
        <f>'T11'!BT43</f>
        <v>0</v>
      </c>
      <c r="Q38" s="86">
        <f>'T12'!BT43</f>
        <v>0</v>
      </c>
      <c r="R38" s="86">
        <f t="shared" si="0"/>
        <v>0</v>
      </c>
      <c r="S38" s="88"/>
      <c r="U38" s="81"/>
    </row>
    <row r="39" spans="1:21" x14ac:dyDescent="0.3">
      <c r="A39" s="81"/>
      <c r="C39" s="87">
        <v>31</v>
      </c>
      <c r="D39" s="85" t="str">
        <f>IF(VLOOKUP(C39,DSNV!$C$8:$N$48,3,FALSE)=0,"",VLOOKUP(C39,DSNV!$C$8:$N$48,3,FALSE))</f>
        <v/>
      </c>
      <c r="E39" s="84" t="str">
        <f>IF(VLOOKUP(C39,DSNV!$C$8:$N$48,8,FALSE)="","",VLOOKUP(C39,DSNV!$C$8:$N$48,8,FALSE))</f>
        <v/>
      </c>
      <c r="F39" s="86">
        <f>'T1'!BT44</f>
        <v>0</v>
      </c>
      <c r="G39" s="86">
        <f>'T2'!BT44</f>
        <v>0</v>
      </c>
      <c r="H39" s="86">
        <f>'T3'!BT44</f>
        <v>0</v>
      </c>
      <c r="I39" s="86">
        <f>'T4'!BT44</f>
        <v>0</v>
      </c>
      <c r="J39" s="86">
        <f>'T5'!BT44</f>
        <v>0</v>
      </c>
      <c r="K39" s="86">
        <f>'T6'!BT44</f>
        <v>0</v>
      </c>
      <c r="L39" s="86">
        <f>'T7'!BT44</f>
        <v>0</v>
      </c>
      <c r="M39" s="86">
        <f>'T8'!BT44</f>
        <v>0</v>
      </c>
      <c r="N39" s="86">
        <f>'T9'!BT44</f>
        <v>0</v>
      </c>
      <c r="O39" s="86">
        <f>'T10'!BT44</f>
        <v>0</v>
      </c>
      <c r="P39" s="86">
        <f>'T11'!BT44</f>
        <v>0</v>
      </c>
      <c r="Q39" s="86">
        <f>'T12'!BT44</f>
        <v>0</v>
      </c>
      <c r="R39" s="86">
        <f t="shared" si="0"/>
        <v>0</v>
      </c>
      <c r="S39" s="88"/>
      <c r="U39" s="81"/>
    </row>
    <row r="40" spans="1:21" x14ac:dyDescent="0.3">
      <c r="A40" s="81"/>
      <c r="C40" s="87">
        <v>32</v>
      </c>
      <c r="D40" s="85" t="str">
        <f>IF(VLOOKUP(C40,DSNV!$C$8:$N$48,3,FALSE)=0,"",VLOOKUP(C40,DSNV!$C$8:$N$48,3,FALSE))</f>
        <v/>
      </c>
      <c r="E40" s="84" t="str">
        <f>IF(VLOOKUP(C40,DSNV!$C$8:$N$48,8,FALSE)="","",VLOOKUP(C40,DSNV!$C$8:$N$48,8,FALSE))</f>
        <v/>
      </c>
      <c r="F40" s="86">
        <f>'T1'!BT45</f>
        <v>0</v>
      </c>
      <c r="G40" s="86">
        <f>'T2'!BT45</f>
        <v>0</v>
      </c>
      <c r="H40" s="86">
        <f>'T3'!BT45</f>
        <v>0</v>
      </c>
      <c r="I40" s="86">
        <f>'T4'!BT45</f>
        <v>0</v>
      </c>
      <c r="J40" s="86">
        <f>'T5'!BT45</f>
        <v>0</v>
      </c>
      <c r="K40" s="86">
        <f>'T6'!BT45</f>
        <v>0</v>
      </c>
      <c r="L40" s="86">
        <f>'T7'!BT45</f>
        <v>0</v>
      </c>
      <c r="M40" s="86">
        <f>'T8'!BT45</f>
        <v>0</v>
      </c>
      <c r="N40" s="86">
        <f>'T9'!BT45</f>
        <v>0</v>
      </c>
      <c r="O40" s="86">
        <f>'T10'!BT45</f>
        <v>0</v>
      </c>
      <c r="P40" s="86">
        <f>'T11'!BT45</f>
        <v>0</v>
      </c>
      <c r="Q40" s="86">
        <f>'T12'!BT45</f>
        <v>0</v>
      </c>
      <c r="R40" s="86">
        <f t="shared" si="0"/>
        <v>0</v>
      </c>
      <c r="S40" s="88"/>
      <c r="U40" s="81"/>
    </row>
    <row r="41" spans="1:21" x14ac:dyDescent="0.3">
      <c r="A41" s="81"/>
      <c r="C41" s="87">
        <v>33</v>
      </c>
      <c r="D41" s="85" t="str">
        <f>IF(VLOOKUP(C41,DSNV!$C$8:$N$48,3,FALSE)=0,"",VLOOKUP(C41,DSNV!$C$8:$N$48,3,FALSE))</f>
        <v/>
      </c>
      <c r="E41" s="84" t="str">
        <f>IF(VLOOKUP(C41,DSNV!$C$8:$N$48,8,FALSE)="","",VLOOKUP(C41,DSNV!$C$8:$N$48,8,FALSE))</f>
        <v/>
      </c>
      <c r="F41" s="86">
        <f>'T1'!BT46</f>
        <v>0</v>
      </c>
      <c r="G41" s="86">
        <f>'T2'!BT46</f>
        <v>0</v>
      </c>
      <c r="H41" s="86">
        <f>'T3'!BT46</f>
        <v>0</v>
      </c>
      <c r="I41" s="86">
        <f>'T4'!BT46</f>
        <v>0</v>
      </c>
      <c r="J41" s="86">
        <f>'T5'!BT46</f>
        <v>0</v>
      </c>
      <c r="K41" s="86">
        <f>'T6'!BT46</f>
        <v>0</v>
      </c>
      <c r="L41" s="86">
        <f>'T7'!BT46</f>
        <v>0</v>
      </c>
      <c r="M41" s="86">
        <f>'T8'!BT46</f>
        <v>0</v>
      </c>
      <c r="N41" s="86">
        <f>'T9'!BT46</f>
        <v>0</v>
      </c>
      <c r="O41" s="86">
        <f>'T10'!BT46</f>
        <v>0</v>
      </c>
      <c r="P41" s="86">
        <f>'T11'!BT46</f>
        <v>0</v>
      </c>
      <c r="Q41" s="86">
        <f>'T12'!BT46</f>
        <v>0</v>
      </c>
      <c r="R41" s="86">
        <f t="shared" si="0"/>
        <v>0</v>
      </c>
      <c r="S41" s="88"/>
      <c r="U41" s="81"/>
    </row>
    <row r="42" spans="1:21" x14ac:dyDescent="0.3">
      <c r="A42" s="81"/>
      <c r="C42" s="87">
        <v>34</v>
      </c>
      <c r="D42" s="85" t="str">
        <f>IF(VLOOKUP(C42,DSNV!$C$8:$N$48,3,FALSE)=0,"",VLOOKUP(C42,DSNV!$C$8:$N$48,3,FALSE))</f>
        <v/>
      </c>
      <c r="E42" s="84" t="str">
        <f>IF(VLOOKUP(C42,DSNV!$C$8:$N$48,8,FALSE)="","",VLOOKUP(C42,DSNV!$C$8:$N$48,8,FALSE))</f>
        <v/>
      </c>
      <c r="F42" s="86">
        <f>'T1'!BT47</f>
        <v>0</v>
      </c>
      <c r="G42" s="86">
        <f>'T2'!BT47</f>
        <v>0</v>
      </c>
      <c r="H42" s="86">
        <f>'T3'!BT47</f>
        <v>0</v>
      </c>
      <c r="I42" s="86">
        <f>'T4'!BT47</f>
        <v>0</v>
      </c>
      <c r="J42" s="86">
        <f>'T5'!BT47</f>
        <v>0</v>
      </c>
      <c r="K42" s="86">
        <f>'T6'!BT47</f>
        <v>0</v>
      </c>
      <c r="L42" s="86">
        <f>'T7'!BT47</f>
        <v>0</v>
      </c>
      <c r="M42" s="86">
        <f>'T8'!BT47</f>
        <v>0</v>
      </c>
      <c r="N42" s="86">
        <f>'T9'!BT47</f>
        <v>0</v>
      </c>
      <c r="O42" s="86">
        <f>'T10'!BT47</f>
        <v>0</v>
      </c>
      <c r="P42" s="86">
        <f>'T11'!BT47</f>
        <v>0</v>
      </c>
      <c r="Q42" s="86">
        <f>'T12'!BT47</f>
        <v>0</v>
      </c>
      <c r="R42" s="86">
        <f t="shared" si="0"/>
        <v>0</v>
      </c>
      <c r="S42" s="88"/>
      <c r="U42" s="81"/>
    </row>
    <row r="43" spans="1:21" x14ac:dyDescent="0.3">
      <c r="A43" s="81"/>
      <c r="C43" s="87">
        <v>35</v>
      </c>
      <c r="D43" s="85" t="str">
        <f>IF(VLOOKUP(C43,DSNV!$C$8:$N$48,3,FALSE)=0,"",VLOOKUP(C43,DSNV!$C$8:$N$48,3,FALSE))</f>
        <v/>
      </c>
      <c r="E43" s="84" t="str">
        <f>IF(VLOOKUP(C43,DSNV!$C$8:$N$48,8,FALSE)="","",VLOOKUP(C43,DSNV!$C$8:$N$48,8,FALSE))</f>
        <v/>
      </c>
      <c r="F43" s="86">
        <f>'T1'!BT48</f>
        <v>0</v>
      </c>
      <c r="G43" s="86">
        <f>'T2'!BT48</f>
        <v>0</v>
      </c>
      <c r="H43" s="86">
        <f>'T3'!BT48</f>
        <v>0</v>
      </c>
      <c r="I43" s="86">
        <f>'T4'!BT48</f>
        <v>0</v>
      </c>
      <c r="J43" s="86">
        <f>'T5'!BT48</f>
        <v>0</v>
      </c>
      <c r="K43" s="86">
        <f>'T6'!BT48</f>
        <v>0</v>
      </c>
      <c r="L43" s="86">
        <f>'T7'!BT48</f>
        <v>0</v>
      </c>
      <c r="M43" s="86">
        <f>'T8'!BT48</f>
        <v>0</v>
      </c>
      <c r="N43" s="86">
        <f>'T9'!BT48</f>
        <v>0</v>
      </c>
      <c r="O43" s="86">
        <f>'T10'!BT48</f>
        <v>0</v>
      </c>
      <c r="P43" s="86">
        <f>'T11'!BT48</f>
        <v>0</v>
      </c>
      <c r="Q43" s="86">
        <f>'T12'!BT48</f>
        <v>0</v>
      </c>
      <c r="R43" s="86">
        <f t="shared" si="0"/>
        <v>0</v>
      </c>
      <c r="S43" s="88"/>
      <c r="U43" s="81"/>
    </row>
    <row r="44" spans="1:21" x14ac:dyDescent="0.3">
      <c r="A44" s="81"/>
      <c r="C44" s="87">
        <v>36</v>
      </c>
      <c r="D44" s="85" t="str">
        <f>IF(VLOOKUP(C44,DSNV!$C$8:$N$48,3,FALSE)=0,"",VLOOKUP(C44,DSNV!$C$8:$N$48,3,FALSE))</f>
        <v/>
      </c>
      <c r="E44" s="84" t="str">
        <f>IF(VLOOKUP(C44,DSNV!$C$8:$N$48,8,FALSE)="","",VLOOKUP(C44,DSNV!$C$8:$N$48,8,FALSE))</f>
        <v/>
      </c>
      <c r="F44" s="86">
        <f>'T1'!BT49</f>
        <v>0</v>
      </c>
      <c r="G44" s="86">
        <f>'T2'!BT49</f>
        <v>0</v>
      </c>
      <c r="H44" s="86">
        <f>'T3'!BT49</f>
        <v>0</v>
      </c>
      <c r="I44" s="86">
        <f>'T4'!BT49</f>
        <v>0</v>
      </c>
      <c r="J44" s="86">
        <f>'T5'!BT49</f>
        <v>0</v>
      </c>
      <c r="K44" s="86">
        <f>'T6'!BT49</f>
        <v>0</v>
      </c>
      <c r="L44" s="86">
        <f>'T7'!BT49</f>
        <v>0</v>
      </c>
      <c r="M44" s="86">
        <f>'T8'!BT49</f>
        <v>0</v>
      </c>
      <c r="N44" s="86">
        <f>'T9'!BT49</f>
        <v>0</v>
      </c>
      <c r="O44" s="86">
        <f>'T10'!BT49</f>
        <v>0</v>
      </c>
      <c r="P44" s="86">
        <f>'T11'!BT49</f>
        <v>0</v>
      </c>
      <c r="Q44" s="86">
        <f>'T12'!BT49</f>
        <v>0</v>
      </c>
      <c r="R44" s="86">
        <f t="shared" si="0"/>
        <v>0</v>
      </c>
      <c r="S44" s="88"/>
      <c r="U44" s="81"/>
    </row>
    <row r="45" spans="1:21" x14ac:dyDescent="0.3">
      <c r="A45" s="81"/>
      <c r="C45" s="87">
        <v>37</v>
      </c>
      <c r="D45" s="85" t="str">
        <f>IF(VLOOKUP(C45,DSNV!$C$8:$N$48,3,FALSE)=0,"",VLOOKUP(C45,DSNV!$C$8:$N$48,3,FALSE))</f>
        <v/>
      </c>
      <c r="E45" s="84" t="str">
        <f>IF(VLOOKUP(C45,DSNV!$C$8:$N$48,8,FALSE)="","",VLOOKUP(C45,DSNV!$C$8:$N$48,8,FALSE))</f>
        <v/>
      </c>
      <c r="F45" s="86">
        <f>'T1'!BT50</f>
        <v>0</v>
      </c>
      <c r="G45" s="86">
        <f>'T2'!BT50</f>
        <v>0</v>
      </c>
      <c r="H45" s="86">
        <f>'T3'!BT50</f>
        <v>0</v>
      </c>
      <c r="I45" s="86">
        <f>'T4'!BT50</f>
        <v>0</v>
      </c>
      <c r="J45" s="86">
        <f>'T5'!BT50</f>
        <v>0</v>
      </c>
      <c r="K45" s="86">
        <f>'T6'!BT50</f>
        <v>0</v>
      </c>
      <c r="L45" s="86">
        <f>'T7'!BT50</f>
        <v>0</v>
      </c>
      <c r="M45" s="86">
        <f>'T8'!BT50</f>
        <v>0</v>
      </c>
      <c r="N45" s="86">
        <f>'T9'!BT50</f>
        <v>0</v>
      </c>
      <c r="O45" s="86">
        <f>'T10'!BT50</f>
        <v>0</v>
      </c>
      <c r="P45" s="86">
        <f>'T11'!BT50</f>
        <v>0</v>
      </c>
      <c r="Q45" s="86">
        <f>'T12'!BT50</f>
        <v>0</v>
      </c>
      <c r="R45" s="86">
        <f t="shared" si="0"/>
        <v>0</v>
      </c>
      <c r="S45" s="88"/>
      <c r="U45" s="81"/>
    </row>
    <row r="46" spans="1:21" x14ac:dyDescent="0.3">
      <c r="A46" s="81"/>
      <c r="C46" s="87">
        <v>38</v>
      </c>
      <c r="D46" s="85" t="str">
        <f>IF(VLOOKUP(C46,DSNV!$C$8:$N$48,3,FALSE)=0,"",VLOOKUP(C46,DSNV!$C$8:$N$48,3,FALSE))</f>
        <v/>
      </c>
      <c r="E46" s="84" t="str">
        <f>IF(VLOOKUP(C46,DSNV!$C$8:$N$48,8,FALSE)="","",VLOOKUP(C46,DSNV!$C$8:$N$48,8,FALSE))</f>
        <v/>
      </c>
      <c r="F46" s="86">
        <f>'T1'!BT51</f>
        <v>0</v>
      </c>
      <c r="G46" s="86">
        <f>'T2'!BT51</f>
        <v>0</v>
      </c>
      <c r="H46" s="86">
        <f>'T3'!BT51</f>
        <v>0</v>
      </c>
      <c r="I46" s="86">
        <f>'T4'!BT51</f>
        <v>0</v>
      </c>
      <c r="J46" s="86">
        <f>'T5'!BT51</f>
        <v>0</v>
      </c>
      <c r="K46" s="86">
        <f>'T6'!BT51</f>
        <v>0</v>
      </c>
      <c r="L46" s="86">
        <f>'T7'!BT51</f>
        <v>0</v>
      </c>
      <c r="M46" s="86">
        <f>'T8'!BT51</f>
        <v>0</v>
      </c>
      <c r="N46" s="86">
        <f>'T9'!BT51</f>
        <v>0</v>
      </c>
      <c r="O46" s="86">
        <f>'T10'!BT51</f>
        <v>0</v>
      </c>
      <c r="P46" s="86">
        <f>'T11'!BT51</f>
        <v>0</v>
      </c>
      <c r="Q46" s="86">
        <f>'T12'!BT51</f>
        <v>0</v>
      </c>
      <c r="R46" s="86">
        <f t="shared" si="0"/>
        <v>0</v>
      </c>
      <c r="S46" s="88"/>
      <c r="U46" s="81"/>
    </row>
    <row r="47" spans="1:21" x14ac:dyDescent="0.3">
      <c r="A47" s="81"/>
      <c r="C47" s="87">
        <v>39</v>
      </c>
      <c r="D47" s="85" t="str">
        <f>IF(VLOOKUP(C47,DSNV!$C$8:$N$48,3,FALSE)=0,"",VLOOKUP(C47,DSNV!$C$8:$N$48,3,FALSE))</f>
        <v/>
      </c>
      <c r="E47" s="84" t="str">
        <f>IF(VLOOKUP(C47,DSNV!$C$8:$N$48,8,FALSE)="","",VLOOKUP(C47,DSNV!$C$8:$N$48,8,FALSE))</f>
        <v/>
      </c>
      <c r="F47" s="86">
        <f>'T1'!BT52</f>
        <v>0</v>
      </c>
      <c r="G47" s="86">
        <f>'T2'!BT52</f>
        <v>0</v>
      </c>
      <c r="H47" s="86">
        <f>'T3'!BT52</f>
        <v>0</v>
      </c>
      <c r="I47" s="86">
        <f>'T4'!BT52</f>
        <v>0</v>
      </c>
      <c r="J47" s="86">
        <f>'T5'!BT52</f>
        <v>0</v>
      </c>
      <c r="K47" s="86">
        <f>'T6'!BT52</f>
        <v>0</v>
      </c>
      <c r="L47" s="86">
        <f>'T7'!BT52</f>
        <v>0</v>
      </c>
      <c r="M47" s="86">
        <f>'T8'!BT52</f>
        <v>0</v>
      </c>
      <c r="N47" s="86">
        <f>'T9'!BT52</f>
        <v>0</v>
      </c>
      <c r="O47" s="86">
        <f>'T10'!BT52</f>
        <v>0</v>
      </c>
      <c r="P47" s="86">
        <f>'T11'!BT52</f>
        <v>0</v>
      </c>
      <c r="Q47" s="86">
        <f>'T12'!BT52</f>
        <v>0</v>
      </c>
      <c r="R47" s="86">
        <f t="shared" si="0"/>
        <v>0</v>
      </c>
      <c r="S47" s="88"/>
      <c r="U47" s="81"/>
    </row>
    <row r="48" spans="1:21" x14ac:dyDescent="0.3">
      <c r="A48" s="81"/>
      <c r="C48" s="89">
        <v>40</v>
      </c>
      <c r="D48" s="85" t="str">
        <f>IF(VLOOKUP(C48,DSNV!$C$8:$N$48,3,FALSE)=0,"",VLOOKUP(C48,DSNV!$C$8:$N$48,3,FALSE))</f>
        <v/>
      </c>
      <c r="E48" s="84" t="str">
        <f>IF(VLOOKUP(C48,DSNV!$C$8:$N$48,8,FALSE)="","",VLOOKUP(C48,DSNV!$C$8:$N$48,8,FALSE))</f>
        <v/>
      </c>
      <c r="F48" s="90">
        <f>'T1'!BT53</f>
        <v>0</v>
      </c>
      <c r="G48" s="90">
        <f>'T2'!BT53</f>
        <v>0</v>
      </c>
      <c r="H48" s="90">
        <f>'T3'!BT53</f>
        <v>0</v>
      </c>
      <c r="I48" s="90">
        <f>'T4'!BT53</f>
        <v>0</v>
      </c>
      <c r="J48" s="90">
        <f>'T5'!BT53</f>
        <v>0</v>
      </c>
      <c r="K48" s="90">
        <f>'T6'!BT53</f>
        <v>0</v>
      </c>
      <c r="L48" s="90">
        <f>'T7'!BT53</f>
        <v>0</v>
      </c>
      <c r="M48" s="90">
        <f>'T8'!BT53</f>
        <v>0</v>
      </c>
      <c r="N48" s="90">
        <f>'T9'!BT53</f>
        <v>0</v>
      </c>
      <c r="O48" s="90">
        <f>'T10'!BT53</f>
        <v>0</v>
      </c>
      <c r="P48" s="90">
        <f>'T11'!BT53</f>
        <v>0</v>
      </c>
      <c r="Q48" s="90">
        <f>'T12'!BT53</f>
        <v>0</v>
      </c>
      <c r="R48" s="90">
        <f t="shared" si="0"/>
        <v>0</v>
      </c>
      <c r="S48" s="91"/>
      <c r="U48" s="81"/>
    </row>
    <row r="49" spans="1:21" x14ac:dyDescent="0.3">
      <c r="A49" s="81"/>
      <c r="U49" s="81"/>
    </row>
    <row r="50" spans="1:21" x14ac:dyDescent="0.3">
      <c r="A50" s="81"/>
      <c r="U50" s="81"/>
    </row>
    <row r="51" spans="1:21" x14ac:dyDescent="0.3">
      <c r="A51" s="81"/>
      <c r="B51" s="81"/>
      <c r="C51" s="81"/>
      <c r="D51" s="81"/>
      <c r="E51" s="81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1"/>
      <c r="T51" s="81"/>
      <c r="U51" s="81"/>
    </row>
    <row r="52" spans="1:21" x14ac:dyDescent="0.3">
      <c r="A52" s="81"/>
      <c r="B52" s="81"/>
      <c r="C52" s="81"/>
      <c r="D52" s="81"/>
      <c r="E52" s="81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1"/>
      <c r="T52" s="81"/>
      <c r="U52" s="81"/>
    </row>
    <row r="53" spans="1:21" x14ac:dyDescent="0.3">
      <c r="A53" s="81"/>
      <c r="B53" s="81"/>
      <c r="C53" s="81"/>
      <c r="D53" s="81"/>
      <c r="E53" s="81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1"/>
      <c r="T53" s="81"/>
      <c r="U53" s="81"/>
    </row>
  </sheetData>
  <mergeCells count="1">
    <mergeCell ref="C6:S6"/>
  </mergeCells>
  <phoneticPr fontId="1" type="noConversion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EA9EF-0344-43F3-9C73-05C914534F8A}">
  <sheetPr codeName="Sheet19"/>
  <dimension ref="A1:Z32"/>
  <sheetViews>
    <sheetView showGridLines="0" showRowColHeaders="0" workbookViewId="0">
      <pane ySplit="4" topLeftCell="A5" activePane="bottomLeft" state="frozen"/>
      <selection pane="bottomLeft"/>
    </sheetView>
  </sheetViews>
  <sheetFormatPr defaultColWidth="0" defaultRowHeight="14.4" zeroHeight="1" x14ac:dyDescent="0.3"/>
  <cols>
    <col min="1" max="1" width="8.88671875" style="22" customWidth="1"/>
    <col min="2" max="2" width="3.33203125" style="22" customWidth="1"/>
    <col min="3" max="3" width="10.88671875" style="22" customWidth="1"/>
    <col min="4" max="8" width="7.88671875" style="22" customWidth="1"/>
    <col min="9" max="23" width="8.88671875" style="22" customWidth="1"/>
    <col min="24" max="24" width="3.33203125" style="22" customWidth="1"/>
    <col min="25" max="25" width="8.88671875" style="22" customWidth="1"/>
    <col min="26" max="26" width="0" style="22" hidden="1" customWidth="1"/>
    <col min="27" max="16384" width="8.88671875" style="22" hidden="1"/>
  </cols>
  <sheetData>
    <row r="1" spans="1:24" s="108" customFormat="1" x14ac:dyDescent="0.3"/>
    <row r="2" spans="1:24" s="108" customFormat="1" x14ac:dyDescent="0.3"/>
    <row r="3" spans="1:24" s="81" customFormat="1" x14ac:dyDescent="0.3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</row>
    <row r="4" spans="1:24" s="81" customFormat="1" x14ac:dyDescent="0.3"/>
    <row r="5" spans="1:24" s="81" customFormat="1" x14ac:dyDescent="0.3"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</row>
    <row r="6" spans="1:24" s="81" customFormat="1" ht="25.8" x14ac:dyDescent="0.5">
      <c r="B6" s="22"/>
      <c r="C6" s="125" t="s">
        <v>116</v>
      </c>
      <c r="D6" s="125"/>
      <c r="E6" s="125"/>
      <c r="F6" s="125"/>
      <c r="G6" s="125"/>
      <c r="H6" s="125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</row>
    <row r="7" spans="1:24" s="81" customFormat="1" x14ac:dyDescent="0.3"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</row>
    <row r="8" spans="1:24" s="81" customFormat="1" x14ac:dyDescent="0.3">
      <c r="B8" s="22"/>
      <c r="C8" s="92" t="s">
        <v>2</v>
      </c>
      <c r="D8" s="127" t="s">
        <v>127</v>
      </c>
      <c r="E8" s="127"/>
      <c r="F8" s="127"/>
      <c r="G8" s="127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</row>
    <row r="9" spans="1:24" s="81" customFormat="1" x14ac:dyDescent="0.3">
      <c r="B9" s="22"/>
      <c r="C9" s="92" t="s">
        <v>6</v>
      </c>
      <c r="D9" s="22" t="str">
        <f>INDEX(DSNV!$C$8:$N$48,MATCH(RP_1!$D$8,DSNV!$E$8:$E$48,0),8)</f>
        <v>Trưởng ban</v>
      </c>
      <c r="E9" s="22"/>
      <c r="F9" s="93" t="s">
        <v>13</v>
      </c>
      <c r="G9" s="93"/>
      <c r="H9" s="80" t="str">
        <f>INDEX(DSNV!$C$8:$N$48,MATCH(RP_1!$D$8,DSNV!$E$8:$E$48,0),2)</f>
        <v>F8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</row>
    <row r="10" spans="1:24" s="81" customFormat="1" x14ac:dyDescent="0.3">
      <c r="B10" s="22"/>
      <c r="C10" s="92" t="s">
        <v>7</v>
      </c>
      <c r="D10" s="22" t="str">
        <f>INDEX(DSNV!$C$8:$N$48,MATCH(RP_1!$D$8,DSNV!$E$8:$E$48,0),9)</f>
        <v>Giáo trình</v>
      </c>
      <c r="E10" s="22"/>
      <c r="F10" s="93" t="s">
        <v>136</v>
      </c>
      <c r="G10" s="93"/>
      <c r="H10" s="80">
        <f>VLOOKUP(RP_1!$D$8,RP_All!$D$9:$S$48,15,FALSE)</f>
        <v>69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</row>
    <row r="11" spans="1:24" s="81" customFormat="1" x14ac:dyDescent="0.3"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</row>
    <row r="12" spans="1:24" s="81" customFormat="1" x14ac:dyDescent="0.3"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</row>
    <row r="13" spans="1:24" s="81" customFormat="1" x14ac:dyDescent="0.3">
      <c r="B13" s="22"/>
      <c r="C13" s="94">
        <v>2021</v>
      </c>
      <c r="D13" s="126" t="s">
        <v>139</v>
      </c>
      <c r="E13" s="126"/>
      <c r="F13" s="126"/>
      <c r="G13" s="126"/>
      <c r="H13" s="126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</row>
    <row r="14" spans="1:24" s="81" customFormat="1" ht="28.8" x14ac:dyDescent="0.3">
      <c r="B14" s="22"/>
      <c r="C14" s="95" t="s">
        <v>137</v>
      </c>
      <c r="D14" s="95" t="s">
        <v>51</v>
      </c>
      <c r="E14" s="95" t="s">
        <v>138</v>
      </c>
      <c r="F14" s="95" t="s">
        <v>113</v>
      </c>
      <c r="G14" s="95" t="s">
        <v>114</v>
      </c>
      <c r="H14" s="95" t="s">
        <v>53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</row>
    <row r="15" spans="1:24" s="81" customFormat="1" x14ac:dyDescent="0.3">
      <c r="B15" s="22"/>
      <c r="C15" s="84">
        <v>1</v>
      </c>
      <c r="D15" s="96">
        <f>VLOOKUP($D$8,'T1'!$D$14:$BU$53,34,FALSE)</f>
        <v>7</v>
      </c>
      <c r="E15" s="96">
        <f>VLOOKUP($D$8,'T1'!$D$14:$BU$53,66,FALSE)</f>
        <v>14</v>
      </c>
      <c r="F15" s="96">
        <f>VLOOKUP($D$8,'T1'!$D$14:$BU$53,67,FALSE)</f>
        <v>7</v>
      </c>
      <c r="G15" s="96">
        <f>VLOOKUP($D$8,'T1'!$D$14:$BU$53,68,FALSE)</f>
        <v>0</v>
      </c>
      <c r="H15" s="96">
        <f>VLOOKUP($D$8,'T1'!$D$14:$BU$53,69,FALSE)</f>
        <v>28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</row>
    <row r="16" spans="1:24" s="81" customFormat="1" x14ac:dyDescent="0.3">
      <c r="B16" s="22"/>
      <c r="C16" s="87">
        <v>2</v>
      </c>
      <c r="D16" s="97">
        <f>VLOOKUP($D$8,'T2'!$D$14:$BU$53,34,FALSE)</f>
        <v>0</v>
      </c>
      <c r="E16" s="97">
        <f>VLOOKUP($D$8,'T2'!$D$14:$BU$53,66,FALSE)</f>
        <v>0</v>
      </c>
      <c r="F16" s="97">
        <f>VLOOKUP($D$8,'T2'!$D$14:$BU$53,67,FALSE)</f>
        <v>0</v>
      </c>
      <c r="G16" s="97">
        <f>VLOOKUP($D$8,'T2'!$D$14:$BU$53,68,FALSE)</f>
        <v>0</v>
      </c>
      <c r="H16" s="97">
        <f>VLOOKUP($D$8,'T2'!$D$14:$BU$53,69,FALSE)</f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</row>
    <row r="17" spans="1:26" s="81" customFormat="1" x14ac:dyDescent="0.3">
      <c r="B17" s="22"/>
      <c r="C17" s="87">
        <v>3</v>
      </c>
      <c r="D17" s="97">
        <f>VLOOKUP($D$8,'T3'!$D$14:$BU$53,34,FALSE)</f>
        <v>2</v>
      </c>
      <c r="E17" s="97">
        <f>VLOOKUP($D$8,'T3'!$D$14:$BU$53,66,FALSE)</f>
        <v>11</v>
      </c>
      <c r="F17" s="97">
        <f>VLOOKUP($D$8,'T3'!$D$14:$BU$53,67,FALSE)</f>
        <v>5.5</v>
      </c>
      <c r="G17" s="97">
        <f>VLOOKUP($D$8,'T3'!$D$14:$BU$53,68,FALSE)</f>
        <v>0</v>
      </c>
      <c r="H17" s="97">
        <f>VLOOKUP($D$8,'T3'!$D$14:$BU$53,69,FALSE)</f>
        <v>18.5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</row>
    <row r="18" spans="1:26" s="81" customFormat="1" x14ac:dyDescent="0.3">
      <c r="B18" s="22"/>
      <c r="C18" s="87">
        <v>4</v>
      </c>
      <c r="D18" s="97">
        <f>VLOOKUP($D$8,'T4'!$D$14:$BU$53,34,FALSE)</f>
        <v>9</v>
      </c>
      <c r="E18" s="97">
        <f>VLOOKUP($D$8,'T4'!$D$14:$BU$53,66,FALSE)</f>
        <v>9</v>
      </c>
      <c r="F18" s="97">
        <f>VLOOKUP($D$8,'T4'!$D$14:$BU$53,67,FALSE)</f>
        <v>4.5</v>
      </c>
      <c r="G18" s="97">
        <f>VLOOKUP($D$8,'T4'!$D$14:$BU$53,68,FALSE)</f>
        <v>0</v>
      </c>
      <c r="H18" s="97">
        <f>VLOOKUP($D$8,'T4'!$D$14:$BU$53,69,FALSE)</f>
        <v>22.5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</row>
    <row r="19" spans="1:26" s="81" customFormat="1" x14ac:dyDescent="0.3">
      <c r="B19" s="22"/>
      <c r="C19" s="87">
        <v>5</v>
      </c>
      <c r="D19" s="97">
        <f>VLOOKUP($D$8,'T5'!$D$14:$BU$53,34,FALSE)</f>
        <v>0</v>
      </c>
      <c r="E19" s="97">
        <f>VLOOKUP($D$8,'T5'!$D$14:$BU$53,66,FALSE)</f>
        <v>0</v>
      </c>
      <c r="F19" s="97">
        <f>VLOOKUP($D$8,'T5'!$D$14:$BU$53,67,FALSE)</f>
        <v>0</v>
      </c>
      <c r="G19" s="97">
        <f>VLOOKUP($D$8,'T5'!$D$14:$BU$53,68,FALSE)</f>
        <v>0</v>
      </c>
      <c r="H19" s="97">
        <f>VLOOKUP($D$8,'T5'!$D$14:$BU$53,69,FALSE)</f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</row>
    <row r="20" spans="1:26" s="81" customFormat="1" x14ac:dyDescent="0.3">
      <c r="B20" s="22"/>
      <c r="C20" s="87">
        <v>6</v>
      </c>
      <c r="D20" s="97">
        <f>VLOOKUP($D$8,'T6'!$D$14:$BU$53,34,FALSE)</f>
        <v>0</v>
      </c>
      <c r="E20" s="97">
        <f>VLOOKUP($D$8,'T6'!$D$14:$BU$53,66,FALSE)</f>
        <v>0</v>
      </c>
      <c r="F20" s="97">
        <f>VLOOKUP($D$8,'T6'!$D$14:$BU$53,67,FALSE)</f>
        <v>0</v>
      </c>
      <c r="G20" s="97">
        <f>VLOOKUP($D$8,'T6'!$D$14:$BU$53,68,FALSE)</f>
        <v>0</v>
      </c>
      <c r="H20" s="97">
        <f>VLOOKUP($D$8,'T6'!$D$14:$BU$53,69,FALSE)</f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</row>
    <row r="21" spans="1:26" s="81" customFormat="1" x14ac:dyDescent="0.3">
      <c r="B21" s="22"/>
      <c r="C21" s="87">
        <v>7</v>
      </c>
      <c r="D21" s="97">
        <f>VLOOKUP($D$8,'T7'!$D$14:$BU$53,34,FALSE)</f>
        <v>0</v>
      </c>
      <c r="E21" s="97">
        <f>VLOOKUP($D$8,'T7'!$D$14:$BU$53,66,FALSE)</f>
        <v>0</v>
      </c>
      <c r="F21" s="97">
        <f>VLOOKUP($D$8,'T7'!$D$14:$BU$53,67,FALSE)</f>
        <v>0</v>
      </c>
      <c r="G21" s="97">
        <f>VLOOKUP($D$8,'T7'!$D$14:$BU$53,68,FALSE)</f>
        <v>0</v>
      </c>
      <c r="H21" s="97">
        <f>VLOOKUP($D$8,'T7'!$D$14:$BU$53,69,FALSE)</f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</row>
    <row r="22" spans="1:26" s="81" customFormat="1" x14ac:dyDescent="0.3">
      <c r="B22" s="22"/>
      <c r="C22" s="87">
        <v>8</v>
      </c>
      <c r="D22" s="97">
        <f>VLOOKUP($D$8,'T8'!$D$14:$BU$53,34,FALSE)</f>
        <v>0</v>
      </c>
      <c r="E22" s="97">
        <f>VLOOKUP($D$8,'T8'!$D$14:$BU$53,66,FALSE)</f>
        <v>0</v>
      </c>
      <c r="F22" s="97">
        <f>VLOOKUP($D$8,'T8'!$D$14:$BU$53,67,FALSE)</f>
        <v>0</v>
      </c>
      <c r="G22" s="97">
        <f>VLOOKUP($D$8,'T8'!$D$14:$BU$53,68,FALSE)</f>
        <v>0</v>
      </c>
      <c r="H22" s="97">
        <f>VLOOKUP($D$8,'T8'!$D$14:$BU$53,69,FALSE)</f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</row>
    <row r="23" spans="1:26" s="81" customFormat="1" x14ac:dyDescent="0.3">
      <c r="B23" s="22"/>
      <c r="C23" s="87">
        <v>9</v>
      </c>
      <c r="D23" s="97">
        <f>VLOOKUP($D$8,'T9'!$D$14:$BU$53,34,FALSE)</f>
        <v>0</v>
      </c>
      <c r="E23" s="97">
        <f>VLOOKUP($D$8,'T9'!$D$14:$BU$53,66,FALSE)</f>
        <v>0</v>
      </c>
      <c r="F23" s="97">
        <f>VLOOKUP($D$8,'T9'!$D$14:$BU$53,67,FALSE)</f>
        <v>0</v>
      </c>
      <c r="G23" s="97">
        <f>VLOOKUP($D$8,'T9'!$D$14:$BU$53,68,FALSE)</f>
        <v>0</v>
      </c>
      <c r="H23" s="97">
        <f>VLOOKUP($D$8,'T9'!$D$14:$BU$53,69,FALSE)</f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</row>
    <row r="24" spans="1:26" s="81" customFormat="1" x14ac:dyDescent="0.3">
      <c r="B24" s="22"/>
      <c r="C24" s="87">
        <v>10</v>
      </c>
      <c r="D24" s="97">
        <f>VLOOKUP($D$8,'T10'!$D$14:$BU$53,34,FALSE)</f>
        <v>0</v>
      </c>
      <c r="E24" s="97">
        <f>VLOOKUP($D$8,'T10'!$D$14:$BU$53,66,FALSE)</f>
        <v>0</v>
      </c>
      <c r="F24" s="97">
        <f>VLOOKUP($D$8,'T10'!$D$14:$BU$53,67,FALSE)</f>
        <v>0</v>
      </c>
      <c r="G24" s="97">
        <f>VLOOKUP($D$8,'T10'!$D$14:$BU$53,68,FALSE)</f>
        <v>0</v>
      </c>
      <c r="H24" s="97">
        <f>VLOOKUP($D$8,'T10'!$D$14:$BU$53,69,FALSE)</f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</row>
    <row r="25" spans="1:26" s="81" customFormat="1" x14ac:dyDescent="0.3">
      <c r="B25" s="22"/>
      <c r="C25" s="87">
        <v>11</v>
      </c>
      <c r="D25" s="97">
        <f>VLOOKUP($D$8,'T11'!$D$14:$BU$53,34,FALSE)</f>
        <v>0</v>
      </c>
      <c r="E25" s="97">
        <f>VLOOKUP($D$8,'T11'!$D$14:$BU$53,66,FALSE)</f>
        <v>0</v>
      </c>
      <c r="F25" s="97">
        <f>VLOOKUP($D$8,'T11'!$D$14:$BU$53,67,FALSE)</f>
        <v>0</v>
      </c>
      <c r="G25" s="97">
        <f>VLOOKUP($D$8,'T11'!$D$14:$BU$53,68,FALSE)</f>
        <v>0</v>
      </c>
      <c r="H25" s="97">
        <f>VLOOKUP($D$8,'T11'!$D$14:$BU$53,69,FALSE)</f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</row>
    <row r="26" spans="1:26" s="81" customFormat="1" x14ac:dyDescent="0.3">
      <c r="B26" s="22"/>
      <c r="C26" s="98">
        <v>12</v>
      </c>
      <c r="D26" s="99">
        <f>VLOOKUP($D$8,'T12'!$D$14:$BU$53,34,FALSE)</f>
        <v>0</v>
      </c>
      <c r="E26" s="99">
        <f>VLOOKUP($D$8,'T12'!$D$14:$BU$53,66,FALSE)</f>
        <v>0</v>
      </c>
      <c r="F26" s="99">
        <f>VLOOKUP($D$8,'T12'!$D$14:$BU$53,67,FALSE)</f>
        <v>0</v>
      </c>
      <c r="G26" s="99">
        <f>VLOOKUP($D$8,'T12'!$D$14:$BU$53,68,FALSE)</f>
        <v>0</v>
      </c>
      <c r="H26" s="99">
        <f>VLOOKUP($D$8,'T12'!$D$14:$BU$53,69,FALSE)</f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</row>
    <row r="27" spans="1:26" s="81" customFormat="1" x14ac:dyDescent="0.3">
      <c r="B27" s="22"/>
      <c r="C27" s="100" t="s">
        <v>53</v>
      </c>
      <c r="D27" s="101">
        <f>SUM(D15:D26)</f>
        <v>18</v>
      </c>
      <c r="E27" s="101">
        <f t="shared" ref="E27:H27" si="0">SUM(E15:E26)</f>
        <v>34</v>
      </c>
      <c r="F27" s="101">
        <f t="shared" si="0"/>
        <v>17</v>
      </c>
      <c r="G27" s="101">
        <f t="shared" si="0"/>
        <v>0</v>
      </c>
      <c r="H27" s="101">
        <f t="shared" si="0"/>
        <v>69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</row>
    <row r="28" spans="1:26" s="81" customFormat="1" x14ac:dyDescent="0.3"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</row>
    <row r="29" spans="1:26" s="81" customFormat="1" x14ac:dyDescent="0.3"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</row>
    <row r="30" spans="1:26" s="81" customFormat="1" x14ac:dyDescent="0.3"/>
    <row r="31" spans="1:26" x14ac:dyDescent="0.3">
      <c r="A31" s="81"/>
      <c r="B31" s="81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</row>
    <row r="32" spans="1:26" x14ac:dyDescent="0.3">
      <c r="A32" s="81"/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</row>
  </sheetData>
  <mergeCells count="3">
    <mergeCell ref="D13:H13"/>
    <mergeCell ref="C6:H6"/>
    <mergeCell ref="D8:G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3E217B-DD51-4BBC-8D39-FB6B6A81177D}">
          <x14:formula1>
            <xm:f>OFFSET(RP_All!$D$9,0,0,COUNTA(RP_All!$D$9:$D$1048576),1)</xm:f>
          </x14:formula1>
          <xm:sqref>D8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32253-D503-4B92-899D-55B99EE10D49}">
  <sheetPr codeName="Sheet20"/>
  <dimension ref="A1:U69"/>
  <sheetViews>
    <sheetView showGridLines="0" showRowColHeaders="0" zoomScaleNormal="100" workbookViewId="0">
      <pane ySplit="15" topLeftCell="A16" activePane="bottomLeft" state="frozen"/>
      <selection pane="bottomLeft"/>
    </sheetView>
  </sheetViews>
  <sheetFormatPr defaultColWidth="0" defaultRowHeight="14.4" zeroHeight="1" x14ac:dyDescent="0.3"/>
  <cols>
    <col min="1" max="1" width="8.88671875" style="2" customWidth="1"/>
    <col min="2" max="2" width="3.33203125" style="2" customWidth="1"/>
    <col min="3" max="3" width="8.88671875" style="3" customWidth="1"/>
    <col min="4" max="4" width="20.77734375" style="2" customWidth="1"/>
    <col min="5" max="5" width="8.88671875" style="2" customWidth="1"/>
    <col min="6" max="6" width="12.88671875" style="3" customWidth="1"/>
    <col min="7" max="12" width="10.33203125" style="2" customWidth="1"/>
    <col min="13" max="13" width="14.33203125" style="2" customWidth="1"/>
    <col min="14" max="14" width="12.33203125" style="2" customWidth="1"/>
    <col min="15" max="17" width="3.33203125" style="2" customWidth="1"/>
    <col min="18" max="19" width="8.88671875" style="2" customWidth="1"/>
    <col min="20" max="20" width="3.33203125" style="2" customWidth="1"/>
    <col min="21" max="21" width="8.88671875" style="2" customWidth="1"/>
    <col min="22" max="16384" width="8.88671875" style="2" hidden="1"/>
  </cols>
  <sheetData>
    <row r="1" spans="1:21" s="104" customFormat="1" x14ac:dyDescent="0.3">
      <c r="C1" s="105"/>
      <c r="F1" s="105"/>
    </row>
    <row r="2" spans="1:21" s="104" customFormat="1" x14ac:dyDescent="0.3">
      <c r="C2" s="105"/>
      <c r="F2" s="105"/>
    </row>
    <row r="3" spans="1:21" s="110" customFormat="1" x14ac:dyDescent="0.3">
      <c r="C3" s="111"/>
      <c r="F3" s="111"/>
    </row>
    <row r="4" spans="1:21" x14ac:dyDescent="0.3">
      <c r="A4" s="78"/>
      <c r="B4" s="78"/>
      <c r="C4" s="77"/>
      <c r="D4" s="78"/>
      <c r="E4" s="78"/>
      <c r="F4" s="77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</row>
    <row r="5" spans="1:21" x14ac:dyDescent="0.3">
      <c r="A5" s="78"/>
      <c r="P5" s="78"/>
      <c r="Q5" s="78"/>
      <c r="R5" s="78"/>
      <c r="S5" s="78"/>
      <c r="T5" s="78"/>
      <c r="U5" s="78"/>
    </row>
    <row r="6" spans="1:21" x14ac:dyDescent="0.3">
      <c r="A6" s="78"/>
      <c r="C6" s="132" t="s">
        <v>140</v>
      </c>
      <c r="D6" s="132"/>
      <c r="E6" s="132"/>
      <c r="F6" s="132"/>
      <c r="I6" s="134" t="s">
        <v>143</v>
      </c>
      <c r="J6" s="134"/>
      <c r="K6" s="134"/>
      <c r="L6" s="134"/>
      <c r="M6" s="134"/>
      <c r="N6" s="134"/>
      <c r="P6" s="78"/>
      <c r="Q6" s="78"/>
      <c r="R6" s="49" t="s">
        <v>165</v>
      </c>
      <c r="S6" s="44">
        <v>21</v>
      </c>
      <c r="T6" s="78"/>
      <c r="U6" s="78"/>
    </row>
    <row r="7" spans="1:21" x14ac:dyDescent="0.3">
      <c r="A7" s="78"/>
      <c r="C7" s="132" t="s">
        <v>141</v>
      </c>
      <c r="D7" s="132"/>
      <c r="E7" s="132"/>
      <c r="F7" s="132"/>
      <c r="I7" s="132" t="s">
        <v>144</v>
      </c>
      <c r="J7" s="132"/>
      <c r="K7" s="132"/>
      <c r="L7" s="132"/>
      <c r="M7" s="132"/>
      <c r="N7" s="132"/>
      <c r="P7" s="78"/>
      <c r="Q7" s="78"/>
      <c r="R7" s="49" t="s">
        <v>137</v>
      </c>
      <c r="S7" s="44">
        <v>1</v>
      </c>
      <c r="T7" s="78"/>
      <c r="U7" s="78"/>
    </row>
    <row r="8" spans="1:21" x14ac:dyDescent="0.3">
      <c r="A8" s="78"/>
      <c r="C8" s="133" t="s">
        <v>142</v>
      </c>
      <c r="D8" s="133"/>
      <c r="E8" s="133"/>
      <c r="F8" s="133"/>
      <c r="I8" s="135" t="s">
        <v>170</v>
      </c>
      <c r="J8" s="136"/>
      <c r="K8" s="136"/>
      <c r="L8" s="136"/>
      <c r="M8" s="136"/>
      <c r="N8" s="136"/>
      <c r="P8" s="78"/>
      <c r="Q8" s="78"/>
      <c r="R8" s="49" t="s">
        <v>56</v>
      </c>
      <c r="S8" s="44">
        <v>2021</v>
      </c>
      <c r="T8" s="78"/>
      <c r="U8" s="78"/>
    </row>
    <row r="9" spans="1:21" x14ac:dyDescent="0.3">
      <c r="A9" s="78"/>
      <c r="P9" s="78"/>
      <c r="Q9" s="78"/>
      <c r="R9" s="78"/>
      <c r="S9" s="78"/>
      <c r="T9" s="78"/>
      <c r="U9" s="78"/>
    </row>
    <row r="10" spans="1:21" ht="25.8" x14ac:dyDescent="0.5">
      <c r="A10" s="78"/>
      <c r="C10" s="118" t="s">
        <v>145</v>
      </c>
      <c r="D10" s="118"/>
      <c r="E10" s="118"/>
      <c r="F10" s="118"/>
      <c r="G10" s="118"/>
      <c r="H10" s="118"/>
      <c r="I10" s="118"/>
      <c r="J10" s="118"/>
      <c r="K10" s="118"/>
      <c r="L10" s="118"/>
      <c r="M10" s="118"/>
      <c r="N10" s="118"/>
      <c r="P10" s="78"/>
      <c r="Q10" s="78"/>
      <c r="R10" s="78"/>
      <c r="S10" s="78"/>
      <c r="T10" s="78"/>
      <c r="U10" s="78"/>
    </row>
    <row r="11" spans="1:21" x14ac:dyDescent="0.3">
      <c r="A11" s="78"/>
      <c r="C11" s="132" t="str">
        <f>"Tháng "&amp;S7&amp;" Năm "&amp;S8</f>
        <v>Tháng 1 Năm 2021</v>
      </c>
      <c r="D11" s="132"/>
      <c r="E11" s="132"/>
      <c r="F11" s="132"/>
      <c r="G11" s="132"/>
      <c r="H11" s="132"/>
      <c r="I11" s="132"/>
      <c r="J11" s="132"/>
      <c r="K11" s="132"/>
      <c r="L11" s="132"/>
      <c r="M11" s="132"/>
      <c r="N11" s="132"/>
      <c r="P11" s="78"/>
      <c r="Q11" s="78"/>
      <c r="R11" s="78"/>
      <c r="S11" s="78"/>
      <c r="T11" s="78"/>
      <c r="U11" s="78"/>
    </row>
    <row r="12" spans="1:21" x14ac:dyDescent="0.3">
      <c r="A12" s="78"/>
      <c r="P12" s="78"/>
      <c r="Q12" s="78"/>
      <c r="R12" s="78"/>
      <c r="S12" s="78"/>
      <c r="T12" s="78"/>
      <c r="U12" s="78"/>
    </row>
    <row r="13" spans="1:21" x14ac:dyDescent="0.3">
      <c r="A13" s="78"/>
      <c r="C13" s="130" t="s">
        <v>1</v>
      </c>
      <c r="D13" s="130" t="s">
        <v>11</v>
      </c>
      <c r="E13" s="130" t="s">
        <v>12</v>
      </c>
      <c r="F13" s="130" t="s">
        <v>3</v>
      </c>
      <c r="G13" s="128" t="s">
        <v>146</v>
      </c>
      <c r="H13" s="129"/>
      <c r="I13" s="128" t="s">
        <v>113</v>
      </c>
      <c r="J13" s="129"/>
      <c r="K13" s="128" t="s">
        <v>114</v>
      </c>
      <c r="L13" s="129"/>
      <c r="M13" s="130" t="s">
        <v>147</v>
      </c>
      <c r="N13" s="130" t="s">
        <v>148</v>
      </c>
      <c r="P13" s="78"/>
      <c r="Q13" s="78"/>
      <c r="R13" s="78"/>
      <c r="S13" s="78"/>
      <c r="T13" s="78"/>
      <c r="U13" s="78"/>
    </row>
    <row r="14" spans="1:21" ht="28.8" x14ac:dyDescent="0.3">
      <c r="A14" s="78"/>
      <c r="C14" s="130"/>
      <c r="D14" s="130"/>
      <c r="E14" s="130"/>
      <c r="F14" s="130"/>
      <c r="G14" s="53" t="s">
        <v>149</v>
      </c>
      <c r="H14" s="53" t="s">
        <v>150</v>
      </c>
      <c r="I14" s="53" t="s">
        <v>151</v>
      </c>
      <c r="J14" s="53" t="s">
        <v>150</v>
      </c>
      <c r="K14" s="53" t="s">
        <v>152</v>
      </c>
      <c r="L14" s="53" t="s">
        <v>150</v>
      </c>
      <c r="M14" s="130"/>
      <c r="N14" s="130"/>
      <c r="P14" s="78"/>
      <c r="Q14" s="78"/>
      <c r="R14" s="78"/>
      <c r="S14" s="78"/>
      <c r="T14" s="78"/>
      <c r="U14" s="78"/>
    </row>
    <row r="15" spans="1:21" x14ac:dyDescent="0.3">
      <c r="A15" s="78"/>
      <c r="C15" s="54" t="s">
        <v>153</v>
      </c>
      <c r="D15" s="54" t="s">
        <v>154</v>
      </c>
      <c r="E15" s="54" t="s">
        <v>155</v>
      </c>
      <c r="F15" s="54" t="s">
        <v>156</v>
      </c>
      <c r="G15" s="54" t="s">
        <v>157</v>
      </c>
      <c r="H15" s="54" t="s">
        <v>158</v>
      </c>
      <c r="I15" s="54" t="s">
        <v>159</v>
      </c>
      <c r="J15" s="54" t="s">
        <v>160</v>
      </c>
      <c r="K15" s="54" t="s">
        <v>161</v>
      </c>
      <c r="L15" s="54" t="s">
        <v>162</v>
      </c>
      <c r="M15" s="54" t="s">
        <v>163</v>
      </c>
      <c r="N15" s="54" t="s">
        <v>164</v>
      </c>
      <c r="P15" s="78"/>
      <c r="Q15" s="78"/>
      <c r="R15" s="78"/>
      <c r="S15" s="78"/>
      <c r="T15" s="78"/>
      <c r="U15" s="78"/>
    </row>
    <row r="16" spans="1:21" x14ac:dyDescent="0.3">
      <c r="A16" s="78"/>
      <c r="C16" s="4">
        <v>1</v>
      </c>
      <c r="D16" s="5" t="str">
        <f>IF(VLOOKUP(C16,DSNV!$C$8:$N$48,3,FALSE)="","",LEFT(VLOOKUP(C16,DSNV!$C$8:$N$48,3,FALSE),LEN(VLOOKUP(C16,DSNV!$C$8:$N$48,3,FALSE))-LEN(E16)))</f>
        <v xml:space="preserve">Nguyễn Võ Như </v>
      </c>
      <c r="E16" s="5" t="str">
        <f>IF(VLOOKUP(C16,DSNV!$C$8:$N$48,4,FALSE)="","",VLOOKUP(C16,DSNV!$C$8:$N$48,4,FALSE))</f>
        <v>Bình</v>
      </c>
      <c r="F16" s="4" t="str">
        <f>IF(VLOOKUP(C16,DSNV!$C$8:$N$48,5,FALSE)="","",VLOOKUP(C16,DSNV!$C$8:$N$48,5,FALSE))</f>
        <v/>
      </c>
      <c r="G16" s="48" cm="1">
        <f t="array" aca="1" ref="G16" ca="1">INDIRECT("'T"&amp;$S$7&amp;"'!$AK"&amp;(13+C16))+INDIRECT("'T"&amp;$S$7&amp;"'!$BQ"&amp;(13+C16))</f>
        <v>19</v>
      </c>
      <c r="H16" s="52">
        <f ca="1">G16*25000</f>
        <v>475000</v>
      </c>
      <c r="I16" s="5" cm="1">
        <f t="array" aca="1" ref="I16" ca="1">INDIRECT("'T"&amp;$S$7&amp;"'!$BR"&amp;(13+C16))</f>
        <v>0</v>
      </c>
      <c r="J16" s="52">
        <f ca="1">I16*10000</f>
        <v>0</v>
      </c>
      <c r="K16" s="5" cm="1">
        <f t="array" aca="1" ref="K16" ca="1">INDIRECT("'T"&amp;$S$7&amp;"'!$BS"&amp;(13+C16))</f>
        <v>0</v>
      </c>
      <c r="L16" s="52">
        <f ca="1">K16*50000</f>
        <v>0</v>
      </c>
      <c r="M16" s="52">
        <f ca="1">H16+J16+L16</f>
        <v>475000</v>
      </c>
      <c r="N16" s="5"/>
      <c r="P16" s="78"/>
      <c r="Q16" s="78"/>
      <c r="R16" s="78"/>
      <c r="S16" s="78"/>
      <c r="T16" s="78"/>
      <c r="U16" s="78"/>
    </row>
    <row r="17" spans="1:21" x14ac:dyDescent="0.3">
      <c r="A17" s="78"/>
      <c r="C17" s="6">
        <v>2</v>
      </c>
      <c r="D17" s="7" t="str">
        <f>IF(VLOOKUP(C17,DSNV!$C$8:$N$48,3,FALSE)="","",LEFT(VLOOKUP(C17,DSNV!$C$8:$N$48,3,FALSE),LEN(VLOOKUP(C17,DSNV!$C$8:$N$48,3,FALSE))-LEN(E17)))</f>
        <v xml:space="preserve">Võ Khánh </v>
      </c>
      <c r="E17" s="7" t="str">
        <f>IF(VLOOKUP(C17,DSNV!$C$8:$N$48,4,FALSE)="","",VLOOKUP(C17,DSNV!$C$8:$N$48,4,FALSE))</f>
        <v>Đoan</v>
      </c>
      <c r="F17" s="6" t="str">
        <f>IF(VLOOKUP(C17,DSNV!$C$8:$N$48,5,FALSE)="","",VLOOKUP(C17,DSNV!$C$8:$N$48,5,FALSE))</f>
        <v/>
      </c>
      <c r="G17" s="48" cm="1">
        <f t="array" aca="1" ref="G17" ca="1">INDIRECT("'T"&amp;$S$7&amp;"'!$AK"&amp;(13+C17))+INDIRECT("'T"&amp;$S$7&amp;"'!$BQ"&amp;(13+C17))</f>
        <v>16</v>
      </c>
      <c r="H17" s="50">
        <f t="shared" ref="H17:H55" ca="1" si="0">G17*25000</f>
        <v>400000</v>
      </c>
      <c r="I17" s="5" cm="1">
        <f t="array" aca="1" ref="I17" ca="1">INDIRECT("'T"&amp;$S$7&amp;"'!$BR"&amp;(13+C17))</f>
        <v>0</v>
      </c>
      <c r="J17" s="50">
        <f t="shared" ref="J17:J55" ca="1" si="1">I17*10000</f>
        <v>0</v>
      </c>
      <c r="K17" s="5" cm="1">
        <f t="array" aca="1" ref="K17" ca="1">INDIRECT("'T"&amp;$S$7&amp;"'!$BS"&amp;(13+C17))</f>
        <v>0</v>
      </c>
      <c r="L17" s="50">
        <f t="shared" ref="L17:L55" ca="1" si="2">K17*50000</f>
        <v>0</v>
      </c>
      <c r="M17" s="50">
        <f t="shared" ref="M17:M55" ca="1" si="3">H17+J17+L17</f>
        <v>400000</v>
      </c>
      <c r="N17" s="7"/>
      <c r="P17" s="78"/>
      <c r="Q17" s="78"/>
      <c r="R17" s="78"/>
      <c r="S17" s="78"/>
      <c r="T17" s="78"/>
      <c r="U17" s="78"/>
    </row>
    <row r="18" spans="1:21" x14ac:dyDescent="0.3">
      <c r="A18" s="78"/>
      <c r="C18" s="6">
        <v>3</v>
      </c>
      <c r="D18" s="7" t="str">
        <f>IF(VLOOKUP(C18,DSNV!$C$8:$N$48,3,FALSE)="","",LEFT(VLOOKUP(C18,DSNV!$C$8:$N$48,3,FALSE),LEN(VLOOKUP(C18,DSNV!$C$8:$N$48,3,FALSE))-LEN(E18)))</f>
        <v xml:space="preserve">Nguyễn Thu </v>
      </c>
      <c r="E18" s="7" t="str">
        <f>IF(VLOOKUP(C18,DSNV!$C$8:$N$48,4,FALSE)="","",VLOOKUP(C18,DSNV!$C$8:$N$48,4,FALSE))</f>
        <v>Hà</v>
      </c>
      <c r="F18" s="6" t="str">
        <f>IF(VLOOKUP(C18,DSNV!$C$8:$N$48,5,FALSE)="","",VLOOKUP(C18,DSNV!$C$8:$N$48,5,FALSE))</f>
        <v/>
      </c>
      <c r="G18" s="48" cm="1">
        <f t="array" aca="1" ref="G18" ca="1">INDIRECT("'T"&amp;$S$7&amp;"'!$AK"&amp;(13+C18))+INDIRECT("'T"&amp;$S$7&amp;"'!$BQ"&amp;(13+C18))</f>
        <v>16</v>
      </c>
      <c r="H18" s="50">
        <f t="shared" ca="1" si="0"/>
        <v>400000</v>
      </c>
      <c r="I18" s="5" cm="1">
        <f t="array" aca="1" ref="I18" ca="1">INDIRECT("'T"&amp;$S$7&amp;"'!$BR"&amp;(13+C18))</f>
        <v>0</v>
      </c>
      <c r="J18" s="50">
        <f t="shared" ca="1" si="1"/>
        <v>0</v>
      </c>
      <c r="K18" s="5" cm="1">
        <f t="array" aca="1" ref="K18" ca="1">INDIRECT("'T"&amp;$S$7&amp;"'!$BS"&amp;(13+C18))</f>
        <v>0</v>
      </c>
      <c r="L18" s="50">
        <f t="shared" ca="1" si="2"/>
        <v>0</v>
      </c>
      <c r="M18" s="50">
        <f t="shared" ca="1" si="3"/>
        <v>400000</v>
      </c>
      <c r="N18" s="7"/>
      <c r="P18" s="78"/>
      <c r="Q18" s="78"/>
      <c r="R18" s="78"/>
      <c r="S18" s="78"/>
      <c r="T18" s="78"/>
      <c r="U18" s="78"/>
    </row>
    <row r="19" spans="1:21" x14ac:dyDescent="0.3">
      <c r="A19" s="78"/>
      <c r="C19" s="6">
        <v>4</v>
      </c>
      <c r="D19" s="7" t="str">
        <f>IF(VLOOKUP(C19,DSNV!$C$8:$N$48,3,FALSE)="","",LEFT(VLOOKUP(C19,DSNV!$C$8:$N$48,3,FALSE),LEN(VLOOKUP(C19,DSNV!$C$8:$N$48,3,FALSE))-LEN(E19)))</f>
        <v xml:space="preserve">Trương Thị Phú </v>
      </c>
      <c r="E19" s="7" t="str">
        <f>IF(VLOOKUP(C19,DSNV!$C$8:$N$48,4,FALSE)="","",VLOOKUP(C19,DSNV!$C$8:$N$48,4,FALSE))</f>
        <v>Hiệp</v>
      </c>
      <c r="F19" s="6" t="str">
        <f>IF(VLOOKUP(C19,DSNV!$C$8:$N$48,5,FALSE)="","",VLOOKUP(C19,DSNV!$C$8:$N$48,5,FALSE))</f>
        <v/>
      </c>
      <c r="G19" s="48" cm="1">
        <f t="array" aca="1" ref="G19" ca="1">INDIRECT("'T"&amp;$S$7&amp;"'!$AK"&amp;(13+C19))+INDIRECT("'T"&amp;$S$7&amp;"'!$BQ"&amp;(13+C19))</f>
        <v>15</v>
      </c>
      <c r="H19" s="50">
        <f t="shared" ca="1" si="0"/>
        <v>375000</v>
      </c>
      <c r="I19" s="5" cm="1">
        <f t="array" aca="1" ref="I19" ca="1">INDIRECT("'T"&amp;$S$7&amp;"'!$BR"&amp;(13+C19))</f>
        <v>0</v>
      </c>
      <c r="J19" s="50">
        <f t="shared" ca="1" si="1"/>
        <v>0</v>
      </c>
      <c r="K19" s="5" cm="1">
        <f t="array" aca="1" ref="K19" ca="1">INDIRECT("'T"&amp;$S$7&amp;"'!$BS"&amp;(13+C19))</f>
        <v>0</v>
      </c>
      <c r="L19" s="50">
        <f t="shared" ca="1" si="2"/>
        <v>0</v>
      </c>
      <c r="M19" s="50">
        <f t="shared" ca="1" si="3"/>
        <v>375000</v>
      </c>
      <c r="N19" s="7"/>
      <c r="P19" s="78"/>
      <c r="Q19" s="78"/>
      <c r="R19" s="78"/>
      <c r="S19" s="78"/>
      <c r="T19" s="78"/>
      <c r="U19" s="78"/>
    </row>
    <row r="20" spans="1:21" x14ac:dyDescent="0.3">
      <c r="A20" s="78"/>
      <c r="C20" s="6">
        <v>5</v>
      </c>
      <c r="D20" s="7" t="str">
        <f>IF(VLOOKUP(C20,DSNV!$C$8:$N$48,3,FALSE)="","",LEFT(VLOOKUP(C20,DSNV!$C$8:$N$48,3,FALSE),LEN(VLOOKUP(C20,DSNV!$C$8:$N$48,3,FALSE))-LEN(E20)))</f>
        <v xml:space="preserve">Nguyễn Thị Bích </v>
      </c>
      <c r="E20" s="7" t="str">
        <f>IF(VLOOKUP(C20,DSNV!$C$8:$N$48,4,FALSE)="","",VLOOKUP(C20,DSNV!$C$8:$N$48,4,FALSE))</f>
        <v>Hồng</v>
      </c>
      <c r="F20" s="6" t="str">
        <f>IF(VLOOKUP(C20,DSNV!$C$8:$N$48,5,FALSE)="","",VLOOKUP(C20,DSNV!$C$8:$N$48,5,FALSE))</f>
        <v/>
      </c>
      <c r="G20" s="48" cm="1">
        <f t="array" aca="1" ref="G20" ca="1">INDIRECT("'T"&amp;$S$7&amp;"'!$AK"&amp;(13+C20))+INDIRECT("'T"&amp;$S$7&amp;"'!$BQ"&amp;(13+C20))</f>
        <v>10</v>
      </c>
      <c r="H20" s="50">
        <f t="shared" ca="1" si="0"/>
        <v>250000</v>
      </c>
      <c r="I20" s="5" cm="1">
        <f t="array" aca="1" ref="I20" ca="1">INDIRECT("'T"&amp;$S$7&amp;"'!$BR"&amp;(13+C20))</f>
        <v>0</v>
      </c>
      <c r="J20" s="50">
        <f t="shared" ca="1" si="1"/>
        <v>0</v>
      </c>
      <c r="K20" s="5" cm="1">
        <f t="array" aca="1" ref="K20" ca="1">INDIRECT("'T"&amp;$S$7&amp;"'!$BS"&amp;(13+C20))</f>
        <v>0</v>
      </c>
      <c r="L20" s="50">
        <f t="shared" ca="1" si="2"/>
        <v>0</v>
      </c>
      <c r="M20" s="50">
        <f t="shared" ca="1" si="3"/>
        <v>250000</v>
      </c>
      <c r="N20" s="7"/>
      <c r="P20" s="78"/>
      <c r="Q20" s="78"/>
      <c r="R20" s="78"/>
      <c r="S20" s="78"/>
      <c r="T20" s="78"/>
      <c r="U20" s="78"/>
    </row>
    <row r="21" spans="1:21" x14ac:dyDescent="0.3">
      <c r="A21" s="78"/>
      <c r="C21" s="6">
        <v>6</v>
      </c>
      <c r="D21" s="7" t="str">
        <f>IF(VLOOKUP(C21,DSNV!$C$8:$N$48,3,FALSE)="","",LEFT(VLOOKUP(C21,DSNV!$C$8:$N$48,3,FALSE),LEN(VLOOKUP(C21,DSNV!$C$8:$N$48,3,FALSE))-LEN(E21)))</f>
        <v xml:space="preserve">Phạm Thị Ngọc </v>
      </c>
      <c r="E21" s="7" t="str">
        <f>IF(VLOOKUP(C21,DSNV!$C$8:$N$48,4,FALSE)="","",VLOOKUP(C21,DSNV!$C$8:$N$48,4,FALSE))</f>
        <v>Hồng</v>
      </c>
      <c r="F21" s="6" t="str">
        <f>IF(VLOOKUP(C21,DSNV!$C$8:$N$48,5,FALSE)="","",VLOOKUP(C21,DSNV!$C$8:$N$48,5,FALSE))</f>
        <v/>
      </c>
      <c r="G21" s="48" cm="1">
        <f t="array" aca="1" ref="G21" ca="1">INDIRECT("'T"&amp;$S$7&amp;"'!$AK"&amp;(13+C21))+INDIRECT("'T"&amp;$S$7&amp;"'!$BQ"&amp;(13+C21))</f>
        <v>11</v>
      </c>
      <c r="H21" s="50">
        <f t="shared" ca="1" si="0"/>
        <v>275000</v>
      </c>
      <c r="I21" s="5" cm="1">
        <f t="array" aca="1" ref="I21" ca="1">INDIRECT("'T"&amp;$S$7&amp;"'!$BR"&amp;(13+C21))</f>
        <v>3</v>
      </c>
      <c r="J21" s="50">
        <f t="shared" ca="1" si="1"/>
        <v>30000</v>
      </c>
      <c r="K21" s="5" cm="1">
        <f t="array" aca="1" ref="K21" ca="1">INDIRECT("'T"&amp;$S$7&amp;"'!$BS"&amp;(13+C21))</f>
        <v>0</v>
      </c>
      <c r="L21" s="50">
        <f t="shared" ca="1" si="2"/>
        <v>0</v>
      </c>
      <c r="M21" s="50">
        <f t="shared" ca="1" si="3"/>
        <v>305000</v>
      </c>
      <c r="N21" s="7"/>
      <c r="P21" s="78"/>
      <c r="Q21" s="78"/>
      <c r="R21" s="78"/>
      <c r="S21" s="78"/>
      <c r="T21" s="78"/>
      <c r="U21" s="78"/>
    </row>
    <row r="22" spans="1:21" x14ac:dyDescent="0.3">
      <c r="A22" s="78"/>
      <c r="C22" s="6">
        <v>7</v>
      </c>
      <c r="D22" s="7" t="str">
        <f>IF(VLOOKUP(C22,DSNV!$C$8:$N$48,3,FALSE)="","",LEFT(VLOOKUP(C22,DSNV!$C$8:$N$48,3,FALSE),LEN(VLOOKUP(C22,DSNV!$C$8:$N$48,3,FALSE))-LEN(E22)))</f>
        <v xml:space="preserve">Phạm Thị </v>
      </c>
      <c r="E22" s="7" t="str">
        <f>IF(VLOOKUP(C22,DSNV!$C$8:$N$48,4,FALSE)="","",VLOOKUP(C22,DSNV!$C$8:$N$48,4,FALSE))</f>
        <v>Huệ</v>
      </c>
      <c r="F22" s="6" t="str">
        <f>IF(VLOOKUP(C22,DSNV!$C$8:$N$48,5,FALSE)="","",VLOOKUP(C22,DSNV!$C$8:$N$48,5,FALSE))</f>
        <v/>
      </c>
      <c r="G22" s="48" cm="1">
        <f t="array" aca="1" ref="G22" ca="1">INDIRECT("'T"&amp;$S$7&amp;"'!$AK"&amp;(13+C22))+INDIRECT("'T"&amp;$S$7&amp;"'!$BQ"&amp;(13+C22))</f>
        <v>14</v>
      </c>
      <c r="H22" s="50">
        <f t="shared" ca="1" si="0"/>
        <v>350000</v>
      </c>
      <c r="I22" s="5" cm="1">
        <f t="array" aca="1" ref="I22" ca="1">INDIRECT("'T"&amp;$S$7&amp;"'!$BR"&amp;(13+C22))</f>
        <v>4</v>
      </c>
      <c r="J22" s="50">
        <f t="shared" ca="1" si="1"/>
        <v>40000</v>
      </c>
      <c r="K22" s="5" cm="1">
        <f t="array" aca="1" ref="K22" ca="1">INDIRECT("'T"&amp;$S$7&amp;"'!$BS"&amp;(13+C22))</f>
        <v>5</v>
      </c>
      <c r="L22" s="50">
        <f t="shared" ca="1" si="2"/>
        <v>250000</v>
      </c>
      <c r="M22" s="50">
        <f t="shared" ca="1" si="3"/>
        <v>640000</v>
      </c>
      <c r="N22" s="7"/>
      <c r="P22" s="78"/>
      <c r="Q22" s="78"/>
      <c r="R22" s="78"/>
      <c r="S22" s="78"/>
      <c r="T22" s="78"/>
      <c r="U22" s="78"/>
    </row>
    <row r="23" spans="1:21" x14ac:dyDescent="0.3">
      <c r="A23" s="78"/>
      <c r="C23" s="6">
        <v>8</v>
      </c>
      <c r="D23" s="7" t="str">
        <f>IF(VLOOKUP(C23,DSNV!$C$8:$N$48,3,FALSE)="","",LEFT(VLOOKUP(C23,DSNV!$C$8:$N$48,3,FALSE),LEN(VLOOKUP(C23,DSNV!$C$8:$N$48,3,FALSE))-LEN(E23)))</f>
        <v xml:space="preserve">Nguyễn Thị Quỳnh </v>
      </c>
      <c r="E23" s="7" t="str">
        <f>IF(VLOOKUP(C23,DSNV!$C$8:$N$48,4,FALSE)="","",VLOOKUP(C23,DSNV!$C$8:$N$48,4,FALSE))</f>
        <v>Hương</v>
      </c>
      <c r="F23" s="6" t="str">
        <f>IF(VLOOKUP(C23,DSNV!$C$8:$N$48,5,FALSE)="","",VLOOKUP(C23,DSNV!$C$8:$N$48,5,FALSE))</f>
        <v/>
      </c>
      <c r="G23" s="48" cm="1">
        <f t="array" aca="1" ref="G23" ca="1">INDIRECT("'T"&amp;$S$7&amp;"'!$AK"&amp;(13+C23))+INDIRECT("'T"&amp;$S$7&amp;"'!$BQ"&amp;(13+C23))</f>
        <v>8</v>
      </c>
      <c r="H23" s="50">
        <f t="shared" ca="1" si="0"/>
        <v>200000</v>
      </c>
      <c r="I23" s="5" cm="1">
        <f t="array" aca="1" ref="I23" ca="1">INDIRECT("'T"&amp;$S$7&amp;"'!$BR"&amp;(13+C23))</f>
        <v>2.5</v>
      </c>
      <c r="J23" s="50">
        <f t="shared" ca="1" si="1"/>
        <v>25000</v>
      </c>
      <c r="K23" s="5" cm="1">
        <f t="array" aca="1" ref="K23" ca="1">INDIRECT("'T"&amp;$S$7&amp;"'!$BS"&amp;(13+C23))</f>
        <v>0</v>
      </c>
      <c r="L23" s="50">
        <f t="shared" ca="1" si="2"/>
        <v>0</v>
      </c>
      <c r="M23" s="50">
        <f t="shared" ca="1" si="3"/>
        <v>225000</v>
      </c>
      <c r="N23" s="7"/>
      <c r="P23" s="78"/>
      <c r="Q23" s="78"/>
      <c r="R23" s="78"/>
      <c r="S23" s="78"/>
      <c r="T23" s="78"/>
      <c r="U23" s="78"/>
    </row>
    <row r="24" spans="1:21" x14ac:dyDescent="0.3">
      <c r="A24" s="78"/>
      <c r="C24" s="6">
        <v>9</v>
      </c>
      <c r="D24" s="7" t="str">
        <f>IF(VLOOKUP(C24,DSNV!$C$8:$N$48,3,FALSE)="","",LEFT(VLOOKUP(C24,DSNV!$C$8:$N$48,3,FALSE),LEN(VLOOKUP(C24,DSNV!$C$8:$N$48,3,FALSE))-LEN(E24)))</f>
        <v xml:space="preserve">Huỳnh Thanh </v>
      </c>
      <c r="E24" s="7" t="str">
        <f>IF(VLOOKUP(C24,DSNV!$C$8:$N$48,4,FALSE)="","",VLOOKUP(C24,DSNV!$C$8:$N$48,4,FALSE))</f>
        <v>Huyên</v>
      </c>
      <c r="F24" s="6" t="str">
        <f>IF(VLOOKUP(C24,DSNV!$C$8:$N$48,5,FALSE)="","",VLOOKUP(C24,DSNV!$C$8:$N$48,5,FALSE))</f>
        <v/>
      </c>
      <c r="G24" s="48" cm="1">
        <f t="array" aca="1" ref="G24" ca="1">INDIRECT("'T"&amp;$S$7&amp;"'!$AK"&amp;(13+C24))+INDIRECT("'T"&amp;$S$7&amp;"'!$BQ"&amp;(13+C24))</f>
        <v>10</v>
      </c>
      <c r="H24" s="50">
        <f t="shared" ca="1" si="0"/>
        <v>250000</v>
      </c>
      <c r="I24" s="5" cm="1">
        <f t="array" aca="1" ref="I24" ca="1">INDIRECT("'T"&amp;$S$7&amp;"'!$BR"&amp;(13+C24))</f>
        <v>0</v>
      </c>
      <c r="J24" s="50">
        <f t="shared" ca="1" si="1"/>
        <v>0</v>
      </c>
      <c r="K24" s="5" cm="1">
        <f t="array" aca="1" ref="K24" ca="1">INDIRECT("'T"&amp;$S$7&amp;"'!$BS"&amp;(13+C24))</f>
        <v>0</v>
      </c>
      <c r="L24" s="50">
        <f t="shared" ca="1" si="2"/>
        <v>0</v>
      </c>
      <c r="M24" s="50">
        <f t="shared" ca="1" si="3"/>
        <v>250000</v>
      </c>
      <c r="N24" s="7"/>
      <c r="P24" s="78"/>
      <c r="Q24" s="78"/>
      <c r="R24" s="78"/>
      <c r="S24" s="78"/>
      <c r="T24" s="78"/>
      <c r="U24" s="78"/>
    </row>
    <row r="25" spans="1:21" x14ac:dyDescent="0.3">
      <c r="A25" s="78"/>
      <c r="C25" s="6">
        <v>10</v>
      </c>
      <c r="D25" s="7" t="str">
        <f>IF(VLOOKUP(C25,DSNV!$C$8:$N$48,3,FALSE)="","",LEFT(VLOOKUP(C25,DSNV!$C$8:$N$48,3,FALSE),LEN(VLOOKUP(C25,DSNV!$C$8:$N$48,3,FALSE))-LEN(E25)))</f>
        <v xml:space="preserve">Lê Hữu Di </v>
      </c>
      <c r="E25" s="7" t="str">
        <f>IF(VLOOKUP(C25,DSNV!$C$8:$N$48,4,FALSE)="","",VLOOKUP(C25,DSNV!$C$8:$N$48,4,FALSE))</f>
        <v>Mi</v>
      </c>
      <c r="F25" s="6" t="str">
        <f>IF(VLOOKUP(C25,DSNV!$C$8:$N$48,5,FALSE)="","",VLOOKUP(C25,DSNV!$C$8:$N$48,5,FALSE))</f>
        <v/>
      </c>
      <c r="G25" s="48" cm="1">
        <f t="array" aca="1" ref="G25" ca="1">INDIRECT("'T"&amp;$S$7&amp;"'!$AK"&amp;(13+C25))+INDIRECT("'T"&amp;$S$7&amp;"'!$BQ"&amp;(13+C25))</f>
        <v>17</v>
      </c>
      <c r="H25" s="50">
        <f t="shared" ca="1" si="0"/>
        <v>425000</v>
      </c>
      <c r="I25" s="5" cm="1">
        <f t="array" aca="1" ref="I25" ca="1">INDIRECT("'T"&amp;$S$7&amp;"'!$BR"&amp;(13+C25))</f>
        <v>0</v>
      </c>
      <c r="J25" s="50">
        <f t="shared" ca="1" si="1"/>
        <v>0</v>
      </c>
      <c r="K25" s="5" cm="1">
        <f t="array" aca="1" ref="K25" ca="1">INDIRECT("'T"&amp;$S$7&amp;"'!$BS"&amp;(13+C25))</f>
        <v>0</v>
      </c>
      <c r="L25" s="50">
        <f t="shared" ca="1" si="2"/>
        <v>0</v>
      </c>
      <c r="M25" s="50">
        <f t="shared" ca="1" si="3"/>
        <v>425000</v>
      </c>
      <c r="N25" s="7"/>
      <c r="P25" s="78"/>
      <c r="Q25" s="78"/>
      <c r="R25" s="78"/>
      <c r="S25" s="78"/>
      <c r="T25" s="78"/>
      <c r="U25" s="78"/>
    </row>
    <row r="26" spans="1:21" x14ac:dyDescent="0.3">
      <c r="A26" s="78"/>
      <c r="C26" s="6">
        <v>11</v>
      </c>
      <c r="D26" s="7" t="str">
        <f>IF(VLOOKUP(C26,DSNV!$C$8:$N$48,3,FALSE)="","",LEFT(VLOOKUP(C26,DSNV!$C$8:$N$48,3,FALSE),LEN(VLOOKUP(C26,DSNV!$C$8:$N$48,3,FALSE))-LEN(E26)))</f>
        <v xml:space="preserve">Nguyễn Nhựt </v>
      </c>
      <c r="E26" s="7" t="str">
        <f>IF(VLOOKUP(C26,DSNV!$C$8:$N$48,4,FALSE)="","",VLOOKUP(C26,DSNV!$C$8:$N$48,4,FALSE))</f>
        <v>Minh</v>
      </c>
      <c r="F26" s="6" t="str">
        <f>IF(VLOOKUP(C26,DSNV!$C$8:$N$48,5,FALSE)="","",VLOOKUP(C26,DSNV!$C$8:$N$48,5,FALSE))</f>
        <v/>
      </c>
      <c r="G26" s="48" cm="1">
        <f t="array" aca="1" ref="G26" ca="1">INDIRECT("'T"&amp;$S$7&amp;"'!$AK"&amp;(13+C26))+INDIRECT("'T"&amp;$S$7&amp;"'!$BQ"&amp;(13+C26))</f>
        <v>21</v>
      </c>
      <c r="H26" s="50">
        <f t="shared" ca="1" si="0"/>
        <v>525000</v>
      </c>
      <c r="I26" s="5" cm="1">
        <f t="array" aca="1" ref="I26" ca="1">INDIRECT("'T"&amp;$S$7&amp;"'!$BR"&amp;(13+C26))</f>
        <v>7</v>
      </c>
      <c r="J26" s="50">
        <f t="shared" ca="1" si="1"/>
        <v>70000</v>
      </c>
      <c r="K26" s="5" cm="1">
        <f t="array" aca="1" ref="K26" ca="1">INDIRECT("'T"&amp;$S$7&amp;"'!$BS"&amp;(13+C26))</f>
        <v>0</v>
      </c>
      <c r="L26" s="50">
        <f t="shared" ca="1" si="2"/>
        <v>0</v>
      </c>
      <c r="M26" s="50">
        <f t="shared" ca="1" si="3"/>
        <v>595000</v>
      </c>
      <c r="N26" s="7"/>
      <c r="P26" s="78"/>
      <c r="Q26" s="78"/>
      <c r="R26" s="78"/>
      <c r="S26" s="78"/>
      <c r="T26" s="78"/>
      <c r="U26" s="78"/>
    </row>
    <row r="27" spans="1:21" x14ac:dyDescent="0.3">
      <c r="A27" s="78"/>
      <c r="C27" s="6">
        <v>12</v>
      </c>
      <c r="D27" s="7" t="str">
        <f>IF(VLOOKUP(C27,DSNV!$C$8:$N$48,3,FALSE)="","",LEFT(VLOOKUP(C27,DSNV!$C$8:$N$48,3,FALSE),LEN(VLOOKUP(C27,DSNV!$C$8:$N$48,3,FALSE))-LEN(E27)))</f>
        <v xml:space="preserve">Lê Thảo </v>
      </c>
      <c r="E27" s="7" t="str">
        <f>IF(VLOOKUP(C27,DSNV!$C$8:$N$48,4,FALSE)="","",VLOOKUP(C27,DSNV!$C$8:$N$48,4,FALSE))</f>
        <v>Nguyên</v>
      </c>
      <c r="F27" s="6" t="str">
        <f>IF(VLOOKUP(C27,DSNV!$C$8:$N$48,5,FALSE)="","",VLOOKUP(C27,DSNV!$C$8:$N$48,5,FALSE))</f>
        <v/>
      </c>
      <c r="G27" s="48" cm="1">
        <f t="array" aca="1" ref="G27" ca="1">INDIRECT("'T"&amp;$S$7&amp;"'!$AK"&amp;(13+C27))+INDIRECT("'T"&amp;$S$7&amp;"'!$BQ"&amp;(13+C27))</f>
        <v>14</v>
      </c>
      <c r="H27" s="50">
        <f t="shared" ca="1" si="0"/>
        <v>350000</v>
      </c>
      <c r="I27" s="5" cm="1">
        <f t="array" aca="1" ref="I27" ca="1">INDIRECT("'T"&amp;$S$7&amp;"'!$BR"&amp;(13+C27))</f>
        <v>5</v>
      </c>
      <c r="J27" s="50">
        <f t="shared" ca="1" si="1"/>
        <v>50000</v>
      </c>
      <c r="K27" s="5" cm="1">
        <f t="array" aca="1" ref="K27" ca="1">INDIRECT("'T"&amp;$S$7&amp;"'!$BS"&amp;(13+C27))</f>
        <v>0</v>
      </c>
      <c r="L27" s="50">
        <f t="shared" ca="1" si="2"/>
        <v>0</v>
      </c>
      <c r="M27" s="50">
        <f t="shared" ca="1" si="3"/>
        <v>400000</v>
      </c>
      <c r="N27" s="7"/>
      <c r="P27" s="78"/>
      <c r="Q27" s="78"/>
      <c r="R27" s="78"/>
      <c r="S27" s="78"/>
      <c r="T27" s="78"/>
      <c r="U27" s="78"/>
    </row>
    <row r="28" spans="1:21" x14ac:dyDescent="0.3">
      <c r="A28" s="78"/>
      <c r="C28" s="6">
        <v>13</v>
      </c>
      <c r="D28" s="7" t="str">
        <f>IF(VLOOKUP(C28,DSNV!$C$8:$N$48,3,FALSE)="","",LEFT(VLOOKUP(C28,DSNV!$C$8:$N$48,3,FALSE),LEN(VLOOKUP(C28,DSNV!$C$8:$N$48,3,FALSE))-LEN(E28)))</f>
        <v xml:space="preserve">Võ Thị Xuân </v>
      </c>
      <c r="E28" s="7" t="str">
        <f>IF(VLOOKUP(C28,DSNV!$C$8:$N$48,4,FALSE)="","",VLOOKUP(C28,DSNV!$C$8:$N$48,4,FALSE))</f>
        <v>Nữ</v>
      </c>
      <c r="F28" s="6" t="str">
        <f>IF(VLOOKUP(C28,DSNV!$C$8:$N$48,5,FALSE)="","",VLOOKUP(C28,DSNV!$C$8:$N$48,5,FALSE))</f>
        <v/>
      </c>
      <c r="G28" s="48" cm="1">
        <f t="array" aca="1" ref="G28" ca="1">INDIRECT("'T"&amp;$S$7&amp;"'!$AK"&amp;(13+C28))+INDIRECT("'T"&amp;$S$7&amp;"'!$BQ"&amp;(13+C28))</f>
        <v>10</v>
      </c>
      <c r="H28" s="50">
        <f t="shared" ca="1" si="0"/>
        <v>250000</v>
      </c>
      <c r="I28" s="5" cm="1">
        <f t="array" aca="1" ref="I28" ca="1">INDIRECT("'T"&amp;$S$7&amp;"'!$BR"&amp;(13+C28))</f>
        <v>0</v>
      </c>
      <c r="J28" s="50">
        <f t="shared" ca="1" si="1"/>
        <v>0</v>
      </c>
      <c r="K28" s="5" cm="1">
        <f t="array" aca="1" ref="K28" ca="1">INDIRECT("'T"&amp;$S$7&amp;"'!$BS"&amp;(13+C28))</f>
        <v>0</v>
      </c>
      <c r="L28" s="50">
        <f t="shared" ca="1" si="2"/>
        <v>0</v>
      </c>
      <c r="M28" s="50">
        <f t="shared" ca="1" si="3"/>
        <v>250000</v>
      </c>
      <c r="N28" s="7"/>
      <c r="P28" s="78"/>
      <c r="Q28" s="78"/>
      <c r="R28" s="78"/>
      <c r="S28" s="78"/>
      <c r="T28" s="78"/>
      <c r="U28" s="78"/>
    </row>
    <row r="29" spans="1:21" x14ac:dyDescent="0.3">
      <c r="A29" s="78"/>
      <c r="C29" s="6">
        <v>14</v>
      </c>
      <c r="D29" s="7" t="str">
        <f>IF(VLOOKUP(C29,DSNV!$C$8:$N$48,3,FALSE)="","",LEFT(VLOOKUP(C29,DSNV!$C$8:$N$48,3,FALSE),LEN(VLOOKUP(C29,DSNV!$C$8:$N$48,3,FALSE))-LEN(E29)))</f>
        <v xml:space="preserve">Đỗ Thị Lan </v>
      </c>
      <c r="E29" s="7" t="str">
        <f>IF(VLOOKUP(C29,DSNV!$C$8:$N$48,4,FALSE)="","",VLOOKUP(C29,DSNV!$C$8:$N$48,4,FALSE))</f>
        <v>Phương</v>
      </c>
      <c r="F29" s="6" t="str">
        <f>IF(VLOOKUP(C29,DSNV!$C$8:$N$48,5,FALSE)="","",VLOOKUP(C29,DSNV!$C$8:$N$48,5,FALSE))</f>
        <v/>
      </c>
      <c r="G29" s="48" cm="1">
        <f t="array" aca="1" ref="G29" ca="1">INDIRECT("'T"&amp;$S$7&amp;"'!$AK"&amp;(13+C29))+INDIRECT("'T"&amp;$S$7&amp;"'!$BQ"&amp;(13+C29))</f>
        <v>15</v>
      </c>
      <c r="H29" s="50">
        <f t="shared" ca="1" si="0"/>
        <v>375000</v>
      </c>
      <c r="I29" s="5" cm="1">
        <f t="array" aca="1" ref="I29" ca="1">INDIRECT("'T"&amp;$S$7&amp;"'!$BR"&amp;(13+C29))</f>
        <v>0</v>
      </c>
      <c r="J29" s="50">
        <f t="shared" ca="1" si="1"/>
        <v>0</v>
      </c>
      <c r="K29" s="5" cm="1">
        <f t="array" aca="1" ref="K29" ca="1">INDIRECT("'T"&amp;$S$7&amp;"'!$BS"&amp;(13+C29))</f>
        <v>0</v>
      </c>
      <c r="L29" s="50">
        <f t="shared" ca="1" si="2"/>
        <v>0</v>
      </c>
      <c r="M29" s="50">
        <f t="shared" ca="1" si="3"/>
        <v>375000</v>
      </c>
      <c r="N29" s="7"/>
      <c r="P29" s="78"/>
      <c r="Q29" s="78"/>
      <c r="R29" s="78"/>
      <c r="S29" s="78"/>
      <c r="T29" s="78"/>
      <c r="U29" s="78"/>
    </row>
    <row r="30" spans="1:21" x14ac:dyDescent="0.3">
      <c r="A30" s="78"/>
      <c r="C30" s="6">
        <v>15</v>
      </c>
      <c r="D30" s="7" t="str">
        <f>IF(VLOOKUP(C30,DSNV!$C$8:$N$48,3,FALSE)="","",LEFT(VLOOKUP(C30,DSNV!$C$8:$N$48,3,FALSE),LEN(VLOOKUP(C30,DSNV!$C$8:$N$48,3,FALSE))-LEN(E30)))</f>
        <v xml:space="preserve">Nguyễn Thị Nhã </v>
      </c>
      <c r="E30" s="7" t="str">
        <f>IF(VLOOKUP(C30,DSNV!$C$8:$N$48,4,FALSE)="","",VLOOKUP(C30,DSNV!$C$8:$N$48,4,FALSE))</f>
        <v>Quyên</v>
      </c>
      <c r="F30" s="6" t="str">
        <f>IF(VLOOKUP(C30,DSNV!$C$8:$N$48,5,FALSE)="","",VLOOKUP(C30,DSNV!$C$8:$N$48,5,FALSE))</f>
        <v/>
      </c>
      <c r="G30" s="48" cm="1">
        <f t="array" aca="1" ref="G30" ca="1">INDIRECT("'T"&amp;$S$7&amp;"'!$AK"&amp;(13+C30))+INDIRECT("'T"&amp;$S$7&amp;"'!$BQ"&amp;(13+C30))</f>
        <v>12</v>
      </c>
      <c r="H30" s="50">
        <f t="shared" ca="1" si="0"/>
        <v>300000</v>
      </c>
      <c r="I30" s="5" cm="1">
        <f t="array" aca="1" ref="I30" ca="1">INDIRECT("'T"&amp;$S$7&amp;"'!$BR"&amp;(13+C30))</f>
        <v>5</v>
      </c>
      <c r="J30" s="50">
        <f t="shared" ca="1" si="1"/>
        <v>50000</v>
      </c>
      <c r="K30" s="5" cm="1">
        <f t="array" aca="1" ref="K30" ca="1">INDIRECT("'T"&amp;$S$7&amp;"'!$BS"&amp;(13+C30))</f>
        <v>0</v>
      </c>
      <c r="L30" s="50">
        <f t="shared" ca="1" si="2"/>
        <v>0</v>
      </c>
      <c r="M30" s="50">
        <f t="shared" ca="1" si="3"/>
        <v>350000</v>
      </c>
      <c r="N30" s="7"/>
      <c r="P30" s="78"/>
      <c r="Q30" s="78"/>
      <c r="R30" s="78"/>
      <c r="S30" s="78"/>
      <c r="T30" s="78"/>
      <c r="U30" s="78"/>
    </row>
    <row r="31" spans="1:21" x14ac:dyDescent="0.3">
      <c r="A31" s="78"/>
      <c r="C31" s="6">
        <v>16</v>
      </c>
      <c r="D31" s="7" t="str">
        <f>IF(VLOOKUP(C31,DSNV!$C$8:$N$48,3,FALSE)="","",LEFT(VLOOKUP(C31,DSNV!$C$8:$N$48,3,FALSE),LEN(VLOOKUP(C31,DSNV!$C$8:$N$48,3,FALSE))-LEN(E31)))</f>
        <v xml:space="preserve">Nguyễn Đức Vĩnh </v>
      </c>
      <c r="E31" s="7" t="str">
        <f>IF(VLOOKUP(C31,DSNV!$C$8:$N$48,4,FALSE)="","",VLOOKUP(C31,DSNV!$C$8:$N$48,4,FALSE))</f>
        <v>Thắng</v>
      </c>
      <c r="F31" s="6" t="str">
        <f>IF(VLOOKUP(C31,DSNV!$C$8:$N$48,5,FALSE)="","",VLOOKUP(C31,DSNV!$C$8:$N$48,5,FALSE))</f>
        <v/>
      </c>
      <c r="G31" s="48" cm="1">
        <f t="array" aca="1" ref="G31" ca="1">INDIRECT("'T"&amp;$S$7&amp;"'!$AK"&amp;(13+C31))+INDIRECT("'T"&amp;$S$7&amp;"'!$BQ"&amp;(13+C31))</f>
        <v>11</v>
      </c>
      <c r="H31" s="50">
        <f t="shared" ca="1" si="0"/>
        <v>275000</v>
      </c>
      <c r="I31" s="5" cm="1">
        <f t="array" aca="1" ref="I31" ca="1">INDIRECT("'T"&amp;$S$7&amp;"'!$BR"&amp;(13+C31))</f>
        <v>3.5</v>
      </c>
      <c r="J31" s="50">
        <f t="shared" ca="1" si="1"/>
        <v>35000</v>
      </c>
      <c r="K31" s="5" cm="1">
        <f t="array" aca="1" ref="K31" ca="1">INDIRECT("'T"&amp;$S$7&amp;"'!$BS"&amp;(13+C31))</f>
        <v>0</v>
      </c>
      <c r="L31" s="50">
        <f t="shared" ca="1" si="2"/>
        <v>0</v>
      </c>
      <c r="M31" s="50">
        <f t="shared" ca="1" si="3"/>
        <v>310000</v>
      </c>
      <c r="N31" s="7"/>
      <c r="P31" s="78"/>
      <c r="Q31" s="78"/>
      <c r="R31" s="78"/>
      <c r="S31" s="78"/>
      <c r="T31" s="78"/>
      <c r="U31" s="78"/>
    </row>
    <row r="32" spans="1:21" x14ac:dyDescent="0.3">
      <c r="A32" s="78"/>
      <c r="C32" s="6">
        <v>17</v>
      </c>
      <c r="D32" s="7" t="str">
        <f>IF(VLOOKUP(C32,DSNV!$C$8:$N$48,3,FALSE)="","",LEFT(VLOOKUP(C32,DSNV!$C$8:$N$48,3,FALSE),LEN(VLOOKUP(C32,DSNV!$C$8:$N$48,3,FALSE))-LEN(E32)))</f>
        <v xml:space="preserve">Nguyễn Thành </v>
      </c>
      <c r="E32" s="7" t="str">
        <f>IF(VLOOKUP(C32,DSNV!$C$8:$N$48,4,FALSE)="","",VLOOKUP(C32,DSNV!$C$8:$N$48,4,FALSE))</f>
        <v>Tiến</v>
      </c>
      <c r="F32" s="6" t="str">
        <f>IF(VLOOKUP(C32,DSNV!$C$8:$N$48,5,FALSE)="","",VLOOKUP(C32,DSNV!$C$8:$N$48,5,FALSE))</f>
        <v/>
      </c>
      <c r="G32" s="48" cm="1">
        <f t="array" aca="1" ref="G32" ca="1">INDIRECT("'T"&amp;$S$7&amp;"'!$AK"&amp;(13+C32))+INDIRECT("'T"&amp;$S$7&amp;"'!$BQ"&amp;(13+C32))</f>
        <v>12</v>
      </c>
      <c r="H32" s="50">
        <f t="shared" ca="1" si="0"/>
        <v>300000</v>
      </c>
      <c r="I32" s="5" cm="1">
        <f t="array" aca="1" ref="I32" ca="1">INDIRECT("'T"&amp;$S$7&amp;"'!$BR"&amp;(13+C32))</f>
        <v>5</v>
      </c>
      <c r="J32" s="50">
        <f t="shared" ca="1" si="1"/>
        <v>50000</v>
      </c>
      <c r="K32" s="5" cm="1">
        <f t="array" aca="1" ref="K32" ca="1">INDIRECT("'T"&amp;$S$7&amp;"'!$BS"&amp;(13+C32))</f>
        <v>0</v>
      </c>
      <c r="L32" s="50">
        <f t="shared" ca="1" si="2"/>
        <v>0</v>
      </c>
      <c r="M32" s="50">
        <f t="shared" ca="1" si="3"/>
        <v>350000</v>
      </c>
      <c r="N32" s="7"/>
      <c r="P32" s="78"/>
      <c r="Q32" s="78"/>
      <c r="R32" s="78"/>
      <c r="S32" s="78"/>
      <c r="T32" s="78"/>
      <c r="U32" s="78"/>
    </row>
    <row r="33" spans="1:21" x14ac:dyDescent="0.3">
      <c r="A33" s="78"/>
      <c r="C33" s="6">
        <v>18</v>
      </c>
      <c r="D33" s="7" t="str">
        <f>IF(VLOOKUP(C33,DSNV!$C$8:$N$48,3,FALSE)="","",LEFT(VLOOKUP(C33,DSNV!$C$8:$N$48,3,FALSE),LEN(VLOOKUP(C33,DSNV!$C$8:$N$48,3,FALSE))-LEN(E33)))</f>
        <v xml:space="preserve">Trần Thị </v>
      </c>
      <c r="E33" s="7" t="str">
        <f>IF(VLOOKUP(C33,DSNV!$C$8:$N$48,4,FALSE)="","",VLOOKUP(C33,DSNV!$C$8:$N$48,4,FALSE))</f>
        <v>Trúc</v>
      </c>
      <c r="F33" s="6" t="str">
        <f>IF(VLOOKUP(C33,DSNV!$C$8:$N$48,5,FALSE)="","",VLOOKUP(C33,DSNV!$C$8:$N$48,5,FALSE))</f>
        <v/>
      </c>
      <c r="G33" s="48" cm="1">
        <f t="array" aca="1" ref="G33" ca="1">INDIRECT("'T"&amp;$S$7&amp;"'!$AK"&amp;(13+C33))+INDIRECT("'T"&amp;$S$7&amp;"'!$BQ"&amp;(13+C33))</f>
        <v>8</v>
      </c>
      <c r="H33" s="50">
        <f t="shared" ca="1" si="0"/>
        <v>200000</v>
      </c>
      <c r="I33" s="5" cm="1">
        <f t="array" aca="1" ref="I33" ca="1">INDIRECT("'T"&amp;$S$7&amp;"'!$BR"&amp;(13+C33))</f>
        <v>2</v>
      </c>
      <c r="J33" s="50">
        <f t="shared" ca="1" si="1"/>
        <v>20000</v>
      </c>
      <c r="K33" s="5" cm="1">
        <f t="array" aca="1" ref="K33" ca="1">INDIRECT("'T"&amp;$S$7&amp;"'!$BS"&amp;(13+C33))</f>
        <v>0</v>
      </c>
      <c r="L33" s="50">
        <f t="shared" ca="1" si="2"/>
        <v>0</v>
      </c>
      <c r="M33" s="50">
        <f t="shared" ca="1" si="3"/>
        <v>220000</v>
      </c>
      <c r="N33" s="7"/>
      <c r="P33" s="78"/>
      <c r="Q33" s="78"/>
      <c r="R33" s="78"/>
      <c r="S33" s="78"/>
      <c r="T33" s="78"/>
      <c r="U33" s="78"/>
    </row>
    <row r="34" spans="1:21" x14ac:dyDescent="0.3">
      <c r="A34" s="78"/>
      <c r="C34" s="6">
        <v>19</v>
      </c>
      <c r="D34" s="7" t="str">
        <f>IF(VLOOKUP(C34,DSNV!$C$8:$N$48,3,FALSE)="","",LEFT(VLOOKUP(C34,DSNV!$C$8:$N$48,3,FALSE),LEN(VLOOKUP(C34,DSNV!$C$8:$N$48,3,FALSE))-LEN(E34)))</f>
        <v xml:space="preserve">Bùi Hoàng </v>
      </c>
      <c r="E34" s="7" t="str">
        <f>IF(VLOOKUP(C34,DSNV!$C$8:$N$48,4,FALSE)="","",VLOOKUP(C34,DSNV!$C$8:$N$48,4,FALSE))</f>
        <v>Trung</v>
      </c>
      <c r="F34" s="6" t="str">
        <f>IF(VLOOKUP(C34,DSNV!$C$8:$N$48,5,FALSE)="","",VLOOKUP(C34,DSNV!$C$8:$N$48,5,FALSE))</f>
        <v/>
      </c>
      <c r="G34" s="48" cm="1">
        <f t="array" aca="1" ref="G34" ca="1">INDIRECT("'T"&amp;$S$7&amp;"'!$AK"&amp;(13+C34))+INDIRECT("'T"&amp;$S$7&amp;"'!$BQ"&amp;(13+C34))</f>
        <v>6</v>
      </c>
      <c r="H34" s="50">
        <f t="shared" ca="1" si="0"/>
        <v>150000</v>
      </c>
      <c r="I34" s="5" cm="1">
        <f t="array" aca="1" ref="I34" ca="1">INDIRECT("'T"&amp;$S$7&amp;"'!$BR"&amp;(13+C34))</f>
        <v>2</v>
      </c>
      <c r="J34" s="50">
        <f t="shared" ca="1" si="1"/>
        <v>20000</v>
      </c>
      <c r="K34" s="5" cm="1">
        <f t="array" aca="1" ref="K34" ca="1">INDIRECT("'T"&amp;$S$7&amp;"'!$BS"&amp;(13+C34))</f>
        <v>0</v>
      </c>
      <c r="L34" s="50">
        <f t="shared" ca="1" si="2"/>
        <v>0</v>
      </c>
      <c r="M34" s="50">
        <f t="shared" ca="1" si="3"/>
        <v>170000</v>
      </c>
      <c r="N34" s="7"/>
      <c r="P34" s="78"/>
      <c r="Q34" s="78"/>
      <c r="R34" s="78"/>
      <c r="S34" s="78"/>
      <c r="T34" s="78"/>
      <c r="U34" s="78"/>
    </row>
    <row r="35" spans="1:21" x14ac:dyDescent="0.3">
      <c r="A35" s="78"/>
      <c r="C35" s="6">
        <v>20</v>
      </c>
      <c r="D35" s="7" t="str">
        <f>IF(VLOOKUP(C35,DSNV!$C$8:$N$48,3,FALSE)="","",LEFT(VLOOKUP(C35,DSNV!$C$8:$N$48,3,FALSE),LEN(VLOOKUP(C35,DSNV!$C$8:$N$48,3,FALSE))-LEN(E35)))</f>
        <v xml:space="preserve">Ngô Trúc Tường </v>
      </c>
      <c r="E35" s="7" t="str">
        <f>IF(VLOOKUP(C35,DSNV!$C$8:$N$48,4,FALSE)="","",VLOOKUP(C35,DSNV!$C$8:$N$48,4,FALSE))</f>
        <v>Vy</v>
      </c>
      <c r="F35" s="6" t="str">
        <f>IF(VLOOKUP(C35,DSNV!$C$8:$N$48,5,FALSE)="","",VLOOKUP(C35,DSNV!$C$8:$N$48,5,FALSE))</f>
        <v/>
      </c>
      <c r="G35" s="48" cm="1">
        <f t="array" aca="1" ref="G35" ca="1">INDIRECT("'T"&amp;$S$7&amp;"'!$AK"&amp;(13+C35))+INDIRECT("'T"&amp;$S$7&amp;"'!$BQ"&amp;(13+C35))</f>
        <v>6</v>
      </c>
      <c r="H35" s="50">
        <f t="shared" ca="1" si="0"/>
        <v>150000</v>
      </c>
      <c r="I35" s="5" cm="1">
        <f t="array" aca="1" ref="I35" ca="1">INDIRECT("'T"&amp;$S$7&amp;"'!$BR"&amp;(13+C35))</f>
        <v>2</v>
      </c>
      <c r="J35" s="50">
        <f t="shared" ca="1" si="1"/>
        <v>20000</v>
      </c>
      <c r="K35" s="5" cm="1">
        <f t="array" aca="1" ref="K35" ca="1">INDIRECT("'T"&amp;$S$7&amp;"'!$BS"&amp;(13+C35))</f>
        <v>0</v>
      </c>
      <c r="L35" s="50">
        <f t="shared" ca="1" si="2"/>
        <v>0</v>
      </c>
      <c r="M35" s="50">
        <f t="shared" ca="1" si="3"/>
        <v>170000</v>
      </c>
      <c r="N35" s="7"/>
      <c r="P35" s="78"/>
      <c r="Q35" s="78"/>
      <c r="R35" s="78"/>
      <c r="S35" s="78"/>
      <c r="T35" s="78"/>
      <c r="U35" s="78"/>
    </row>
    <row r="36" spans="1:21" hidden="1" x14ac:dyDescent="0.3">
      <c r="A36" s="78"/>
      <c r="C36" s="6">
        <v>21</v>
      </c>
      <c r="D36" s="7" t="str">
        <f>IF(VLOOKUP(C36,DSNV!$C$8:$N$48,3,FALSE)="","",LEFT(VLOOKUP(C36,DSNV!$C$8:$N$48,3,FALSE),LEN(VLOOKUP(C36,DSNV!$C$8:$N$48,3,FALSE))-LEN(E36)))</f>
        <v/>
      </c>
      <c r="E36" s="7" t="str">
        <f>IF(VLOOKUP(C36,DSNV!$C$8:$N$48,4,FALSE)="","",VLOOKUP(C36,DSNV!$C$8:$N$48,4,FALSE))</f>
        <v/>
      </c>
      <c r="F36" s="6" t="str">
        <f>IF(VLOOKUP(C36,DSNV!$C$8:$N$48,5,FALSE)="","",VLOOKUP(C36,DSNV!$C$8:$N$48,5,FALSE))</f>
        <v/>
      </c>
      <c r="G36" s="48" cm="1">
        <f t="array" aca="1" ref="G36" ca="1">INDIRECT("'T"&amp;$S$7&amp;"'!$AK"&amp;(13+C36))+INDIRECT("'T"&amp;$S$7&amp;"'!$BQ"&amp;(13+C36))</f>
        <v>0</v>
      </c>
      <c r="H36" s="50">
        <f t="shared" ca="1" si="0"/>
        <v>0</v>
      </c>
      <c r="I36" s="5" cm="1">
        <f t="array" aca="1" ref="I36" ca="1">INDIRECT("'T"&amp;$S$7&amp;"'!$BR"&amp;(13+C36))</f>
        <v>0</v>
      </c>
      <c r="J36" s="50">
        <f t="shared" ca="1" si="1"/>
        <v>0</v>
      </c>
      <c r="K36" s="5" cm="1">
        <f t="array" aca="1" ref="K36" ca="1">INDIRECT("'T"&amp;$S$7&amp;"'!$BS"&amp;(13+C36))</f>
        <v>0</v>
      </c>
      <c r="L36" s="50">
        <f t="shared" ca="1" si="2"/>
        <v>0</v>
      </c>
      <c r="M36" s="50">
        <f t="shared" ca="1" si="3"/>
        <v>0</v>
      </c>
      <c r="N36" s="7"/>
      <c r="P36" s="78"/>
      <c r="Q36" s="78"/>
      <c r="R36" s="78"/>
      <c r="S36" s="78"/>
      <c r="T36" s="78"/>
      <c r="U36" s="78"/>
    </row>
    <row r="37" spans="1:21" hidden="1" x14ac:dyDescent="0.3">
      <c r="A37" s="78"/>
      <c r="C37" s="6">
        <v>22</v>
      </c>
      <c r="D37" s="7" t="str">
        <f>IF(VLOOKUP(C37,DSNV!$C$8:$N$48,3,FALSE)="","",LEFT(VLOOKUP(C37,DSNV!$C$8:$N$48,3,FALSE),LEN(VLOOKUP(C37,DSNV!$C$8:$N$48,3,FALSE))-LEN(E37)))</f>
        <v/>
      </c>
      <c r="E37" s="7" t="str">
        <f>IF(VLOOKUP(C37,DSNV!$C$8:$N$48,4,FALSE)="","",VLOOKUP(C37,DSNV!$C$8:$N$48,4,FALSE))</f>
        <v/>
      </c>
      <c r="F37" s="6" t="str">
        <f>IF(VLOOKUP(C37,DSNV!$C$8:$N$48,5,FALSE)="","",VLOOKUP(C37,DSNV!$C$8:$N$48,5,FALSE))</f>
        <v/>
      </c>
      <c r="G37" s="48" cm="1">
        <f t="array" aca="1" ref="G37" ca="1">INDIRECT("'T"&amp;$S$7&amp;"'!$AK"&amp;(13+C37))+INDIRECT("'T"&amp;$S$7&amp;"'!$BQ"&amp;(13+C37))</f>
        <v>0</v>
      </c>
      <c r="H37" s="50">
        <f t="shared" ca="1" si="0"/>
        <v>0</v>
      </c>
      <c r="I37" s="5" cm="1">
        <f t="array" aca="1" ref="I37" ca="1">INDIRECT("'T"&amp;$S$7&amp;"'!$BR"&amp;(13+C37))</f>
        <v>0</v>
      </c>
      <c r="J37" s="50">
        <f t="shared" ca="1" si="1"/>
        <v>0</v>
      </c>
      <c r="K37" s="5" cm="1">
        <f t="array" aca="1" ref="K37" ca="1">INDIRECT("'T"&amp;$S$7&amp;"'!$BS"&amp;(13+C37))</f>
        <v>0</v>
      </c>
      <c r="L37" s="50">
        <f t="shared" ca="1" si="2"/>
        <v>0</v>
      </c>
      <c r="M37" s="50">
        <f t="shared" ca="1" si="3"/>
        <v>0</v>
      </c>
      <c r="N37" s="7"/>
      <c r="P37" s="78"/>
      <c r="Q37" s="78"/>
      <c r="R37" s="78"/>
      <c r="S37" s="78"/>
      <c r="T37" s="78"/>
      <c r="U37" s="78"/>
    </row>
    <row r="38" spans="1:21" hidden="1" x14ac:dyDescent="0.3">
      <c r="A38" s="78"/>
      <c r="C38" s="6">
        <v>23</v>
      </c>
      <c r="D38" s="7" t="str">
        <f>IF(VLOOKUP(C38,DSNV!$C$8:$N$48,3,FALSE)="","",LEFT(VLOOKUP(C38,DSNV!$C$8:$N$48,3,FALSE),LEN(VLOOKUP(C38,DSNV!$C$8:$N$48,3,FALSE))-LEN(E38)))</f>
        <v/>
      </c>
      <c r="E38" s="7" t="str">
        <f>IF(VLOOKUP(C38,DSNV!$C$8:$N$48,4,FALSE)="","",VLOOKUP(C38,DSNV!$C$8:$N$48,4,FALSE))</f>
        <v/>
      </c>
      <c r="F38" s="6" t="str">
        <f>IF(VLOOKUP(C38,DSNV!$C$8:$N$48,5,FALSE)="","",VLOOKUP(C38,DSNV!$C$8:$N$48,5,FALSE))</f>
        <v/>
      </c>
      <c r="G38" s="48" cm="1">
        <f t="array" aca="1" ref="G38" ca="1">INDIRECT("'T"&amp;$S$7&amp;"'!$AK"&amp;(13+C38))+INDIRECT("'T"&amp;$S$7&amp;"'!$BQ"&amp;(13+C38))</f>
        <v>0</v>
      </c>
      <c r="H38" s="50">
        <f t="shared" ca="1" si="0"/>
        <v>0</v>
      </c>
      <c r="I38" s="5" cm="1">
        <f t="array" aca="1" ref="I38" ca="1">INDIRECT("'T"&amp;$S$7&amp;"'!$BR"&amp;(13+C38))</f>
        <v>0</v>
      </c>
      <c r="J38" s="50">
        <f t="shared" ca="1" si="1"/>
        <v>0</v>
      </c>
      <c r="K38" s="5" cm="1">
        <f t="array" aca="1" ref="K38" ca="1">INDIRECT("'T"&amp;$S$7&amp;"'!$BS"&amp;(13+C38))</f>
        <v>0</v>
      </c>
      <c r="L38" s="50">
        <f t="shared" ca="1" si="2"/>
        <v>0</v>
      </c>
      <c r="M38" s="50">
        <f t="shared" ca="1" si="3"/>
        <v>0</v>
      </c>
      <c r="N38" s="7"/>
      <c r="P38" s="78"/>
      <c r="Q38" s="78"/>
      <c r="R38" s="78"/>
      <c r="S38" s="78"/>
      <c r="T38" s="78"/>
      <c r="U38" s="78"/>
    </row>
    <row r="39" spans="1:21" hidden="1" x14ac:dyDescent="0.3">
      <c r="A39" s="78"/>
      <c r="C39" s="6">
        <v>24</v>
      </c>
      <c r="D39" s="7" t="str">
        <f>IF(VLOOKUP(C39,DSNV!$C$8:$N$48,3,FALSE)="","",LEFT(VLOOKUP(C39,DSNV!$C$8:$N$48,3,FALSE),LEN(VLOOKUP(C39,DSNV!$C$8:$N$48,3,FALSE))-LEN(E39)))</f>
        <v/>
      </c>
      <c r="E39" s="7" t="str">
        <f>IF(VLOOKUP(C39,DSNV!$C$8:$N$48,4,FALSE)="","",VLOOKUP(C39,DSNV!$C$8:$N$48,4,FALSE))</f>
        <v/>
      </c>
      <c r="F39" s="6" t="str">
        <f>IF(VLOOKUP(C39,DSNV!$C$8:$N$48,5,FALSE)="","",VLOOKUP(C39,DSNV!$C$8:$N$48,5,FALSE))</f>
        <v/>
      </c>
      <c r="G39" s="48" cm="1">
        <f t="array" aca="1" ref="G39" ca="1">INDIRECT("'T"&amp;$S$7&amp;"'!$AK"&amp;(13+C39))+INDIRECT("'T"&amp;$S$7&amp;"'!$BQ"&amp;(13+C39))</f>
        <v>0</v>
      </c>
      <c r="H39" s="50">
        <f t="shared" ca="1" si="0"/>
        <v>0</v>
      </c>
      <c r="I39" s="5" cm="1">
        <f t="array" aca="1" ref="I39" ca="1">INDIRECT("'T"&amp;$S$7&amp;"'!$BR"&amp;(13+C39))</f>
        <v>0</v>
      </c>
      <c r="J39" s="50">
        <f t="shared" ca="1" si="1"/>
        <v>0</v>
      </c>
      <c r="K39" s="5" cm="1">
        <f t="array" aca="1" ref="K39" ca="1">INDIRECT("'T"&amp;$S$7&amp;"'!$BS"&amp;(13+C39))</f>
        <v>0</v>
      </c>
      <c r="L39" s="50">
        <f t="shared" ca="1" si="2"/>
        <v>0</v>
      </c>
      <c r="M39" s="50">
        <f t="shared" ca="1" si="3"/>
        <v>0</v>
      </c>
      <c r="N39" s="7"/>
      <c r="P39" s="78"/>
      <c r="Q39" s="78"/>
      <c r="R39" s="78"/>
      <c r="S39" s="78"/>
      <c r="T39" s="78"/>
      <c r="U39" s="78"/>
    </row>
    <row r="40" spans="1:21" hidden="1" x14ac:dyDescent="0.3">
      <c r="A40" s="78"/>
      <c r="C40" s="6">
        <v>25</v>
      </c>
      <c r="D40" s="7" t="str">
        <f>IF(VLOOKUP(C40,DSNV!$C$8:$N$48,3,FALSE)="","",LEFT(VLOOKUP(C40,DSNV!$C$8:$N$48,3,FALSE),LEN(VLOOKUP(C40,DSNV!$C$8:$N$48,3,FALSE))-LEN(E40)))</f>
        <v/>
      </c>
      <c r="E40" s="7" t="str">
        <f>IF(VLOOKUP(C40,DSNV!$C$8:$N$48,4,FALSE)="","",VLOOKUP(C40,DSNV!$C$8:$N$48,4,FALSE))</f>
        <v/>
      </c>
      <c r="F40" s="6" t="str">
        <f>IF(VLOOKUP(C40,DSNV!$C$8:$N$48,5,FALSE)="","",VLOOKUP(C40,DSNV!$C$8:$N$48,5,FALSE))</f>
        <v/>
      </c>
      <c r="G40" s="48" cm="1">
        <f t="array" aca="1" ref="G40" ca="1">INDIRECT("'T"&amp;$S$7&amp;"'!$AK"&amp;(13+C40))+INDIRECT("'T"&amp;$S$7&amp;"'!$BQ"&amp;(13+C40))</f>
        <v>0</v>
      </c>
      <c r="H40" s="50">
        <f t="shared" ca="1" si="0"/>
        <v>0</v>
      </c>
      <c r="I40" s="5" cm="1">
        <f t="array" aca="1" ref="I40" ca="1">INDIRECT("'T"&amp;$S$7&amp;"'!$BR"&amp;(13+C40))</f>
        <v>0</v>
      </c>
      <c r="J40" s="50">
        <f t="shared" ca="1" si="1"/>
        <v>0</v>
      </c>
      <c r="K40" s="5" cm="1">
        <f t="array" aca="1" ref="K40" ca="1">INDIRECT("'T"&amp;$S$7&amp;"'!$BS"&amp;(13+C40))</f>
        <v>0</v>
      </c>
      <c r="L40" s="50">
        <f t="shared" ca="1" si="2"/>
        <v>0</v>
      </c>
      <c r="M40" s="50">
        <f t="shared" ca="1" si="3"/>
        <v>0</v>
      </c>
      <c r="N40" s="7"/>
      <c r="P40" s="78"/>
      <c r="Q40" s="78"/>
      <c r="R40" s="78"/>
      <c r="S40" s="78"/>
      <c r="T40" s="78"/>
      <c r="U40" s="78"/>
    </row>
    <row r="41" spans="1:21" hidden="1" x14ac:dyDescent="0.3">
      <c r="A41" s="78"/>
      <c r="C41" s="6">
        <v>26</v>
      </c>
      <c r="D41" s="7" t="str">
        <f>IF(VLOOKUP(C41,DSNV!$C$8:$N$48,3,FALSE)="","",LEFT(VLOOKUP(C41,DSNV!$C$8:$N$48,3,FALSE),LEN(VLOOKUP(C41,DSNV!$C$8:$N$48,3,FALSE))-LEN(E41)))</f>
        <v/>
      </c>
      <c r="E41" s="7" t="str">
        <f>IF(VLOOKUP(C41,DSNV!$C$8:$N$48,4,FALSE)="","",VLOOKUP(C41,DSNV!$C$8:$N$48,4,FALSE))</f>
        <v/>
      </c>
      <c r="F41" s="6" t="str">
        <f>IF(VLOOKUP(C41,DSNV!$C$8:$N$48,5,FALSE)="","",VLOOKUP(C41,DSNV!$C$8:$N$48,5,FALSE))</f>
        <v/>
      </c>
      <c r="G41" s="48" cm="1">
        <f t="array" aca="1" ref="G41" ca="1">INDIRECT("'T"&amp;$S$7&amp;"'!$AK"&amp;(13+C41))+INDIRECT("'T"&amp;$S$7&amp;"'!$BQ"&amp;(13+C41))</f>
        <v>0</v>
      </c>
      <c r="H41" s="50">
        <f t="shared" ca="1" si="0"/>
        <v>0</v>
      </c>
      <c r="I41" s="5" cm="1">
        <f t="array" aca="1" ref="I41" ca="1">INDIRECT("'T"&amp;$S$7&amp;"'!$BR"&amp;(13+C41))</f>
        <v>0</v>
      </c>
      <c r="J41" s="50">
        <f t="shared" ca="1" si="1"/>
        <v>0</v>
      </c>
      <c r="K41" s="5" cm="1">
        <f t="array" aca="1" ref="K41" ca="1">INDIRECT("'T"&amp;$S$7&amp;"'!$BS"&amp;(13+C41))</f>
        <v>0</v>
      </c>
      <c r="L41" s="50">
        <f t="shared" ca="1" si="2"/>
        <v>0</v>
      </c>
      <c r="M41" s="50">
        <f t="shared" ca="1" si="3"/>
        <v>0</v>
      </c>
      <c r="N41" s="7"/>
      <c r="P41" s="78"/>
      <c r="Q41" s="78"/>
      <c r="R41" s="78"/>
      <c r="S41" s="78"/>
      <c r="T41" s="78"/>
      <c r="U41" s="78"/>
    </row>
    <row r="42" spans="1:21" hidden="1" x14ac:dyDescent="0.3">
      <c r="A42" s="78"/>
      <c r="C42" s="6">
        <v>27</v>
      </c>
      <c r="D42" s="7" t="str">
        <f>IF(VLOOKUP(C42,DSNV!$C$8:$N$48,3,FALSE)="","",LEFT(VLOOKUP(C42,DSNV!$C$8:$N$48,3,FALSE),LEN(VLOOKUP(C42,DSNV!$C$8:$N$48,3,FALSE))-LEN(E42)))</f>
        <v/>
      </c>
      <c r="E42" s="7" t="str">
        <f>IF(VLOOKUP(C42,DSNV!$C$8:$N$48,4,FALSE)="","",VLOOKUP(C42,DSNV!$C$8:$N$48,4,FALSE))</f>
        <v/>
      </c>
      <c r="F42" s="6" t="str">
        <f>IF(VLOOKUP(C42,DSNV!$C$8:$N$48,5,FALSE)="","",VLOOKUP(C42,DSNV!$C$8:$N$48,5,FALSE))</f>
        <v/>
      </c>
      <c r="G42" s="48" cm="1">
        <f t="array" aca="1" ref="G42" ca="1">INDIRECT("'T"&amp;$S$7&amp;"'!$AK"&amp;(13+C42))+INDIRECT("'T"&amp;$S$7&amp;"'!$BQ"&amp;(13+C42))</f>
        <v>0</v>
      </c>
      <c r="H42" s="50">
        <f t="shared" ca="1" si="0"/>
        <v>0</v>
      </c>
      <c r="I42" s="5" cm="1">
        <f t="array" aca="1" ref="I42" ca="1">INDIRECT("'T"&amp;$S$7&amp;"'!$BR"&amp;(13+C42))</f>
        <v>0</v>
      </c>
      <c r="J42" s="50">
        <f t="shared" ca="1" si="1"/>
        <v>0</v>
      </c>
      <c r="K42" s="5" cm="1">
        <f t="array" aca="1" ref="K42" ca="1">INDIRECT("'T"&amp;$S$7&amp;"'!$BS"&amp;(13+C42))</f>
        <v>0</v>
      </c>
      <c r="L42" s="50">
        <f t="shared" ca="1" si="2"/>
        <v>0</v>
      </c>
      <c r="M42" s="50">
        <f t="shared" ca="1" si="3"/>
        <v>0</v>
      </c>
      <c r="N42" s="7"/>
      <c r="P42" s="78"/>
      <c r="Q42" s="78"/>
      <c r="R42" s="78"/>
      <c r="S42" s="78"/>
      <c r="T42" s="78"/>
      <c r="U42" s="78"/>
    </row>
    <row r="43" spans="1:21" hidden="1" x14ac:dyDescent="0.3">
      <c r="A43" s="78"/>
      <c r="C43" s="6">
        <v>28</v>
      </c>
      <c r="D43" s="7" t="str">
        <f>IF(VLOOKUP(C43,DSNV!$C$8:$N$48,3,FALSE)="","",LEFT(VLOOKUP(C43,DSNV!$C$8:$N$48,3,FALSE),LEN(VLOOKUP(C43,DSNV!$C$8:$N$48,3,FALSE))-LEN(E43)))</f>
        <v/>
      </c>
      <c r="E43" s="7" t="str">
        <f>IF(VLOOKUP(C43,DSNV!$C$8:$N$48,4,FALSE)="","",VLOOKUP(C43,DSNV!$C$8:$N$48,4,FALSE))</f>
        <v/>
      </c>
      <c r="F43" s="6" t="str">
        <f>IF(VLOOKUP(C43,DSNV!$C$8:$N$48,5,FALSE)="","",VLOOKUP(C43,DSNV!$C$8:$N$48,5,FALSE))</f>
        <v/>
      </c>
      <c r="G43" s="48" cm="1">
        <f t="array" aca="1" ref="G43" ca="1">INDIRECT("'T"&amp;$S$7&amp;"'!$AK"&amp;(13+C43))+INDIRECT("'T"&amp;$S$7&amp;"'!$BQ"&amp;(13+C43))</f>
        <v>0</v>
      </c>
      <c r="H43" s="50">
        <f t="shared" ca="1" si="0"/>
        <v>0</v>
      </c>
      <c r="I43" s="5" cm="1">
        <f t="array" aca="1" ref="I43" ca="1">INDIRECT("'T"&amp;$S$7&amp;"'!$BR"&amp;(13+C43))</f>
        <v>0</v>
      </c>
      <c r="J43" s="50">
        <f t="shared" ca="1" si="1"/>
        <v>0</v>
      </c>
      <c r="K43" s="5" cm="1">
        <f t="array" aca="1" ref="K43" ca="1">INDIRECT("'T"&amp;$S$7&amp;"'!$BS"&amp;(13+C43))</f>
        <v>0</v>
      </c>
      <c r="L43" s="50">
        <f t="shared" ca="1" si="2"/>
        <v>0</v>
      </c>
      <c r="M43" s="50">
        <f t="shared" ca="1" si="3"/>
        <v>0</v>
      </c>
      <c r="N43" s="7"/>
      <c r="P43" s="78"/>
      <c r="Q43" s="78"/>
      <c r="R43" s="78"/>
      <c r="S43" s="78"/>
      <c r="T43" s="78"/>
      <c r="U43" s="78"/>
    </row>
    <row r="44" spans="1:21" hidden="1" x14ac:dyDescent="0.3">
      <c r="A44" s="78"/>
      <c r="C44" s="6">
        <v>29</v>
      </c>
      <c r="D44" s="7" t="str">
        <f>IF(VLOOKUP(C44,DSNV!$C$8:$N$48,3,FALSE)="","",LEFT(VLOOKUP(C44,DSNV!$C$8:$N$48,3,FALSE),LEN(VLOOKUP(C44,DSNV!$C$8:$N$48,3,FALSE))-LEN(E44)))</f>
        <v/>
      </c>
      <c r="E44" s="7" t="str">
        <f>IF(VLOOKUP(C44,DSNV!$C$8:$N$48,4,FALSE)="","",VLOOKUP(C44,DSNV!$C$8:$N$48,4,FALSE))</f>
        <v/>
      </c>
      <c r="F44" s="6" t="str">
        <f>IF(VLOOKUP(C44,DSNV!$C$8:$N$48,5,FALSE)="","",VLOOKUP(C44,DSNV!$C$8:$N$48,5,FALSE))</f>
        <v/>
      </c>
      <c r="G44" s="48" cm="1">
        <f t="array" aca="1" ref="G44" ca="1">INDIRECT("'T"&amp;$S$7&amp;"'!$AK"&amp;(13+C44))+INDIRECT("'T"&amp;$S$7&amp;"'!$BQ"&amp;(13+C44))</f>
        <v>0</v>
      </c>
      <c r="H44" s="50">
        <f t="shared" ca="1" si="0"/>
        <v>0</v>
      </c>
      <c r="I44" s="5" cm="1">
        <f t="array" aca="1" ref="I44" ca="1">INDIRECT("'T"&amp;$S$7&amp;"'!$BR"&amp;(13+C44))</f>
        <v>0</v>
      </c>
      <c r="J44" s="50">
        <f t="shared" ca="1" si="1"/>
        <v>0</v>
      </c>
      <c r="K44" s="5" cm="1">
        <f t="array" aca="1" ref="K44" ca="1">INDIRECT("'T"&amp;$S$7&amp;"'!$BS"&amp;(13+C44))</f>
        <v>0</v>
      </c>
      <c r="L44" s="50">
        <f t="shared" ca="1" si="2"/>
        <v>0</v>
      </c>
      <c r="M44" s="50">
        <f t="shared" ca="1" si="3"/>
        <v>0</v>
      </c>
      <c r="N44" s="7"/>
      <c r="P44" s="78"/>
      <c r="Q44" s="78"/>
      <c r="R44" s="78"/>
      <c r="S44" s="78"/>
      <c r="T44" s="78"/>
      <c r="U44" s="78"/>
    </row>
    <row r="45" spans="1:21" hidden="1" x14ac:dyDescent="0.3">
      <c r="A45" s="78"/>
      <c r="C45" s="6">
        <v>30</v>
      </c>
      <c r="D45" s="7" t="str">
        <f>IF(VLOOKUP(C45,DSNV!$C$8:$N$48,3,FALSE)="","",LEFT(VLOOKUP(C45,DSNV!$C$8:$N$48,3,FALSE),LEN(VLOOKUP(C45,DSNV!$C$8:$N$48,3,FALSE))-LEN(E45)))</f>
        <v/>
      </c>
      <c r="E45" s="7" t="str">
        <f>IF(VLOOKUP(C45,DSNV!$C$8:$N$48,4,FALSE)="","",VLOOKUP(C45,DSNV!$C$8:$N$48,4,FALSE))</f>
        <v/>
      </c>
      <c r="F45" s="6" t="str">
        <f>IF(VLOOKUP(C45,DSNV!$C$8:$N$48,5,FALSE)="","",VLOOKUP(C45,DSNV!$C$8:$N$48,5,FALSE))</f>
        <v/>
      </c>
      <c r="G45" s="48" cm="1">
        <f t="array" aca="1" ref="G45" ca="1">INDIRECT("'T"&amp;$S$7&amp;"'!$AK"&amp;(13+C45))+INDIRECT("'T"&amp;$S$7&amp;"'!$BQ"&amp;(13+C45))</f>
        <v>0</v>
      </c>
      <c r="H45" s="50">
        <f t="shared" ca="1" si="0"/>
        <v>0</v>
      </c>
      <c r="I45" s="5" cm="1">
        <f t="array" aca="1" ref="I45" ca="1">INDIRECT("'T"&amp;$S$7&amp;"'!$BR"&amp;(13+C45))</f>
        <v>0</v>
      </c>
      <c r="J45" s="50">
        <f t="shared" ca="1" si="1"/>
        <v>0</v>
      </c>
      <c r="K45" s="5" cm="1">
        <f t="array" aca="1" ref="K45" ca="1">INDIRECT("'T"&amp;$S$7&amp;"'!$BS"&amp;(13+C45))</f>
        <v>0</v>
      </c>
      <c r="L45" s="50">
        <f t="shared" ca="1" si="2"/>
        <v>0</v>
      </c>
      <c r="M45" s="50">
        <f t="shared" ca="1" si="3"/>
        <v>0</v>
      </c>
      <c r="N45" s="7"/>
      <c r="P45" s="78"/>
      <c r="Q45" s="78"/>
      <c r="R45" s="78"/>
      <c r="S45" s="78"/>
      <c r="T45" s="78"/>
      <c r="U45" s="78"/>
    </row>
    <row r="46" spans="1:21" hidden="1" x14ac:dyDescent="0.3">
      <c r="A46" s="78"/>
      <c r="C46" s="6">
        <v>31</v>
      </c>
      <c r="D46" s="7" t="str">
        <f>IF(VLOOKUP(C46,DSNV!$C$8:$N$48,3,FALSE)="","",LEFT(VLOOKUP(C46,DSNV!$C$8:$N$48,3,FALSE),LEN(VLOOKUP(C46,DSNV!$C$8:$N$48,3,FALSE))-LEN(E46)))</f>
        <v/>
      </c>
      <c r="E46" s="7" t="str">
        <f>IF(VLOOKUP(C46,DSNV!$C$8:$N$48,4,FALSE)="","",VLOOKUP(C46,DSNV!$C$8:$N$48,4,FALSE))</f>
        <v/>
      </c>
      <c r="F46" s="6" t="str">
        <f>IF(VLOOKUP(C46,DSNV!$C$8:$N$48,5,FALSE)="","",VLOOKUP(C46,DSNV!$C$8:$N$48,5,FALSE))</f>
        <v/>
      </c>
      <c r="G46" s="48" cm="1">
        <f t="array" aca="1" ref="G46" ca="1">INDIRECT("'T"&amp;$S$7&amp;"'!$AK"&amp;(13+C46))+INDIRECT("'T"&amp;$S$7&amp;"'!$BQ"&amp;(13+C46))</f>
        <v>0</v>
      </c>
      <c r="H46" s="50">
        <f t="shared" ca="1" si="0"/>
        <v>0</v>
      </c>
      <c r="I46" s="5" cm="1">
        <f t="array" aca="1" ref="I46" ca="1">INDIRECT("'T"&amp;$S$7&amp;"'!$BR"&amp;(13+C46))</f>
        <v>0</v>
      </c>
      <c r="J46" s="50">
        <f t="shared" ca="1" si="1"/>
        <v>0</v>
      </c>
      <c r="K46" s="5" cm="1">
        <f t="array" aca="1" ref="K46" ca="1">INDIRECT("'T"&amp;$S$7&amp;"'!$BS"&amp;(13+C46))</f>
        <v>0</v>
      </c>
      <c r="L46" s="50">
        <f t="shared" ca="1" si="2"/>
        <v>0</v>
      </c>
      <c r="M46" s="50">
        <f t="shared" ca="1" si="3"/>
        <v>0</v>
      </c>
      <c r="N46" s="7"/>
      <c r="P46" s="78"/>
      <c r="Q46" s="78"/>
      <c r="R46" s="78"/>
      <c r="S46" s="78"/>
      <c r="T46" s="78"/>
      <c r="U46" s="78"/>
    </row>
    <row r="47" spans="1:21" hidden="1" x14ac:dyDescent="0.3">
      <c r="A47" s="78"/>
      <c r="C47" s="6">
        <v>32</v>
      </c>
      <c r="D47" s="7" t="str">
        <f>IF(VLOOKUP(C47,DSNV!$C$8:$N$48,3,FALSE)="","",LEFT(VLOOKUP(C47,DSNV!$C$8:$N$48,3,FALSE),LEN(VLOOKUP(C47,DSNV!$C$8:$N$48,3,FALSE))-LEN(E47)))</f>
        <v/>
      </c>
      <c r="E47" s="7" t="str">
        <f>IF(VLOOKUP(C47,DSNV!$C$8:$N$48,4,FALSE)="","",VLOOKUP(C47,DSNV!$C$8:$N$48,4,FALSE))</f>
        <v/>
      </c>
      <c r="F47" s="6" t="str">
        <f>IF(VLOOKUP(C47,DSNV!$C$8:$N$48,5,FALSE)="","",VLOOKUP(C47,DSNV!$C$8:$N$48,5,FALSE))</f>
        <v/>
      </c>
      <c r="G47" s="48" cm="1">
        <f t="array" aca="1" ref="G47" ca="1">INDIRECT("'T"&amp;$S$7&amp;"'!$AK"&amp;(13+C47))+INDIRECT("'T"&amp;$S$7&amp;"'!$BQ"&amp;(13+C47))</f>
        <v>0</v>
      </c>
      <c r="H47" s="50">
        <f t="shared" ca="1" si="0"/>
        <v>0</v>
      </c>
      <c r="I47" s="5" cm="1">
        <f t="array" aca="1" ref="I47" ca="1">INDIRECT("'T"&amp;$S$7&amp;"'!$BR"&amp;(13+C47))</f>
        <v>0</v>
      </c>
      <c r="J47" s="50">
        <f t="shared" ca="1" si="1"/>
        <v>0</v>
      </c>
      <c r="K47" s="5" cm="1">
        <f t="array" aca="1" ref="K47" ca="1">INDIRECT("'T"&amp;$S$7&amp;"'!$BS"&amp;(13+C47))</f>
        <v>0</v>
      </c>
      <c r="L47" s="50">
        <f t="shared" ca="1" si="2"/>
        <v>0</v>
      </c>
      <c r="M47" s="50">
        <f t="shared" ca="1" si="3"/>
        <v>0</v>
      </c>
      <c r="N47" s="7"/>
      <c r="P47" s="78"/>
      <c r="Q47" s="78"/>
      <c r="R47" s="78"/>
      <c r="S47" s="78"/>
      <c r="T47" s="78"/>
      <c r="U47" s="78"/>
    </row>
    <row r="48" spans="1:21" hidden="1" x14ac:dyDescent="0.3">
      <c r="A48" s="78"/>
      <c r="C48" s="6">
        <v>33</v>
      </c>
      <c r="D48" s="7" t="str">
        <f>IF(VLOOKUP(C48,DSNV!$C$8:$N$48,3,FALSE)="","",LEFT(VLOOKUP(C48,DSNV!$C$8:$N$48,3,FALSE),LEN(VLOOKUP(C48,DSNV!$C$8:$N$48,3,FALSE))-LEN(E48)))</f>
        <v/>
      </c>
      <c r="E48" s="7" t="str">
        <f>IF(VLOOKUP(C48,DSNV!$C$8:$N$48,4,FALSE)="","",VLOOKUP(C48,DSNV!$C$8:$N$48,4,FALSE))</f>
        <v/>
      </c>
      <c r="F48" s="6" t="str">
        <f>IF(VLOOKUP(C48,DSNV!$C$8:$N$48,5,FALSE)="","",VLOOKUP(C48,DSNV!$C$8:$N$48,5,FALSE))</f>
        <v/>
      </c>
      <c r="G48" s="48" cm="1">
        <f t="array" aca="1" ref="G48" ca="1">INDIRECT("'T"&amp;$S$7&amp;"'!$AK"&amp;(13+C48))+INDIRECT("'T"&amp;$S$7&amp;"'!$BQ"&amp;(13+C48))</f>
        <v>0</v>
      </c>
      <c r="H48" s="50">
        <f t="shared" ca="1" si="0"/>
        <v>0</v>
      </c>
      <c r="I48" s="5" cm="1">
        <f t="array" aca="1" ref="I48" ca="1">INDIRECT("'T"&amp;$S$7&amp;"'!$BR"&amp;(13+C48))</f>
        <v>0</v>
      </c>
      <c r="J48" s="50">
        <f t="shared" ca="1" si="1"/>
        <v>0</v>
      </c>
      <c r="K48" s="5" cm="1">
        <f t="array" aca="1" ref="K48" ca="1">INDIRECT("'T"&amp;$S$7&amp;"'!$BS"&amp;(13+C48))</f>
        <v>0</v>
      </c>
      <c r="L48" s="50">
        <f t="shared" ca="1" si="2"/>
        <v>0</v>
      </c>
      <c r="M48" s="50">
        <f t="shared" ca="1" si="3"/>
        <v>0</v>
      </c>
      <c r="N48" s="7"/>
      <c r="P48" s="78"/>
      <c r="Q48" s="78"/>
      <c r="R48" s="78"/>
      <c r="S48" s="78"/>
      <c r="T48" s="78"/>
      <c r="U48" s="78"/>
    </row>
    <row r="49" spans="1:21" hidden="1" x14ac:dyDescent="0.3">
      <c r="A49" s="78"/>
      <c r="C49" s="6">
        <v>34</v>
      </c>
      <c r="D49" s="7" t="str">
        <f>IF(VLOOKUP(C49,DSNV!$C$8:$N$48,3,FALSE)="","",LEFT(VLOOKUP(C49,DSNV!$C$8:$N$48,3,FALSE),LEN(VLOOKUP(C49,DSNV!$C$8:$N$48,3,FALSE))-LEN(E49)))</f>
        <v/>
      </c>
      <c r="E49" s="7" t="str">
        <f>IF(VLOOKUP(C49,DSNV!$C$8:$N$48,4,FALSE)="","",VLOOKUP(C49,DSNV!$C$8:$N$48,4,FALSE))</f>
        <v/>
      </c>
      <c r="F49" s="6" t="str">
        <f>IF(VLOOKUP(C49,DSNV!$C$8:$N$48,5,FALSE)="","",VLOOKUP(C49,DSNV!$C$8:$N$48,5,FALSE))</f>
        <v/>
      </c>
      <c r="G49" s="48" cm="1">
        <f t="array" aca="1" ref="G49" ca="1">INDIRECT("'T"&amp;$S$7&amp;"'!$AK"&amp;(13+C49))+INDIRECT("'T"&amp;$S$7&amp;"'!$BQ"&amp;(13+C49))</f>
        <v>0</v>
      </c>
      <c r="H49" s="50">
        <f t="shared" ca="1" si="0"/>
        <v>0</v>
      </c>
      <c r="I49" s="5" cm="1">
        <f t="array" aca="1" ref="I49" ca="1">INDIRECT("'T"&amp;$S$7&amp;"'!$BR"&amp;(13+C49))</f>
        <v>0</v>
      </c>
      <c r="J49" s="50">
        <f t="shared" ca="1" si="1"/>
        <v>0</v>
      </c>
      <c r="K49" s="5" cm="1">
        <f t="array" aca="1" ref="K49" ca="1">INDIRECT("'T"&amp;$S$7&amp;"'!$BS"&amp;(13+C49))</f>
        <v>0</v>
      </c>
      <c r="L49" s="50">
        <f t="shared" ca="1" si="2"/>
        <v>0</v>
      </c>
      <c r="M49" s="50">
        <f t="shared" ca="1" si="3"/>
        <v>0</v>
      </c>
      <c r="N49" s="7"/>
      <c r="P49" s="78"/>
      <c r="Q49" s="78"/>
      <c r="R49" s="78"/>
      <c r="S49" s="78"/>
      <c r="T49" s="78"/>
      <c r="U49" s="78"/>
    </row>
    <row r="50" spans="1:21" hidden="1" x14ac:dyDescent="0.3">
      <c r="A50" s="78"/>
      <c r="C50" s="6">
        <v>35</v>
      </c>
      <c r="D50" s="7" t="str">
        <f>IF(VLOOKUP(C50,DSNV!$C$8:$N$48,3,FALSE)="","",LEFT(VLOOKUP(C50,DSNV!$C$8:$N$48,3,FALSE),LEN(VLOOKUP(C50,DSNV!$C$8:$N$48,3,FALSE))-LEN(E50)))</f>
        <v/>
      </c>
      <c r="E50" s="7" t="str">
        <f>IF(VLOOKUP(C50,DSNV!$C$8:$N$48,4,FALSE)="","",VLOOKUP(C50,DSNV!$C$8:$N$48,4,FALSE))</f>
        <v/>
      </c>
      <c r="F50" s="6" t="str">
        <f>IF(VLOOKUP(C50,DSNV!$C$8:$N$48,5,FALSE)="","",VLOOKUP(C50,DSNV!$C$8:$N$48,5,FALSE))</f>
        <v/>
      </c>
      <c r="G50" s="48" cm="1">
        <f t="array" aca="1" ref="G50" ca="1">INDIRECT("'T"&amp;$S$7&amp;"'!$AK"&amp;(13+C50))+INDIRECT("'T"&amp;$S$7&amp;"'!$BQ"&amp;(13+C50))</f>
        <v>0</v>
      </c>
      <c r="H50" s="50">
        <f t="shared" ca="1" si="0"/>
        <v>0</v>
      </c>
      <c r="I50" s="5" cm="1">
        <f t="array" aca="1" ref="I50" ca="1">INDIRECT("'T"&amp;$S$7&amp;"'!$BR"&amp;(13+C50))</f>
        <v>0</v>
      </c>
      <c r="J50" s="50">
        <f t="shared" ca="1" si="1"/>
        <v>0</v>
      </c>
      <c r="K50" s="5" cm="1">
        <f t="array" aca="1" ref="K50" ca="1">INDIRECT("'T"&amp;$S$7&amp;"'!$BS"&amp;(13+C50))</f>
        <v>0</v>
      </c>
      <c r="L50" s="50">
        <f t="shared" ca="1" si="2"/>
        <v>0</v>
      </c>
      <c r="M50" s="50">
        <f t="shared" ca="1" si="3"/>
        <v>0</v>
      </c>
      <c r="N50" s="7"/>
      <c r="P50" s="78"/>
      <c r="Q50" s="78"/>
      <c r="R50" s="78"/>
      <c r="S50" s="78"/>
      <c r="T50" s="78"/>
      <c r="U50" s="78"/>
    </row>
    <row r="51" spans="1:21" hidden="1" x14ac:dyDescent="0.3">
      <c r="A51" s="78"/>
      <c r="C51" s="6">
        <v>36</v>
      </c>
      <c r="D51" s="7" t="str">
        <f>IF(VLOOKUP(C51,DSNV!$C$8:$N$48,3,FALSE)="","",LEFT(VLOOKUP(C51,DSNV!$C$8:$N$48,3,FALSE),LEN(VLOOKUP(C51,DSNV!$C$8:$N$48,3,FALSE))-LEN(E51)))</f>
        <v/>
      </c>
      <c r="E51" s="7" t="str">
        <f>IF(VLOOKUP(C51,DSNV!$C$8:$N$48,4,FALSE)="","",VLOOKUP(C51,DSNV!$C$8:$N$48,4,FALSE))</f>
        <v/>
      </c>
      <c r="F51" s="6" t="str">
        <f>IF(VLOOKUP(C51,DSNV!$C$8:$N$48,5,FALSE)="","",VLOOKUP(C51,DSNV!$C$8:$N$48,5,FALSE))</f>
        <v/>
      </c>
      <c r="G51" s="48" cm="1">
        <f t="array" aca="1" ref="G51" ca="1">INDIRECT("'T"&amp;$S$7&amp;"'!$AK"&amp;(13+C51))+INDIRECT("'T"&amp;$S$7&amp;"'!$BQ"&amp;(13+C51))</f>
        <v>0</v>
      </c>
      <c r="H51" s="50">
        <f t="shared" ca="1" si="0"/>
        <v>0</v>
      </c>
      <c r="I51" s="5" cm="1">
        <f t="array" aca="1" ref="I51" ca="1">INDIRECT("'T"&amp;$S$7&amp;"'!$BR"&amp;(13+C51))</f>
        <v>0</v>
      </c>
      <c r="J51" s="50">
        <f t="shared" ca="1" si="1"/>
        <v>0</v>
      </c>
      <c r="K51" s="5" cm="1">
        <f t="array" aca="1" ref="K51" ca="1">INDIRECT("'T"&amp;$S$7&amp;"'!$BS"&amp;(13+C51))</f>
        <v>0</v>
      </c>
      <c r="L51" s="50">
        <f t="shared" ca="1" si="2"/>
        <v>0</v>
      </c>
      <c r="M51" s="50">
        <f t="shared" ca="1" si="3"/>
        <v>0</v>
      </c>
      <c r="N51" s="7"/>
      <c r="P51" s="78"/>
      <c r="Q51" s="78"/>
      <c r="R51" s="78"/>
      <c r="S51" s="78"/>
      <c r="T51" s="78"/>
      <c r="U51" s="78"/>
    </row>
    <row r="52" spans="1:21" hidden="1" x14ac:dyDescent="0.3">
      <c r="A52" s="78"/>
      <c r="C52" s="6">
        <v>37</v>
      </c>
      <c r="D52" s="7" t="str">
        <f>IF(VLOOKUP(C52,DSNV!$C$8:$N$48,3,FALSE)="","",LEFT(VLOOKUP(C52,DSNV!$C$8:$N$48,3,FALSE),LEN(VLOOKUP(C52,DSNV!$C$8:$N$48,3,FALSE))-LEN(E52)))</f>
        <v/>
      </c>
      <c r="E52" s="7" t="str">
        <f>IF(VLOOKUP(C52,DSNV!$C$8:$N$48,4,FALSE)="","",VLOOKUP(C52,DSNV!$C$8:$N$48,4,FALSE))</f>
        <v/>
      </c>
      <c r="F52" s="6" t="str">
        <f>IF(VLOOKUP(C52,DSNV!$C$8:$N$48,5,FALSE)="","",VLOOKUP(C52,DSNV!$C$8:$N$48,5,FALSE))</f>
        <v/>
      </c>
      <c r="G52" s="48" cm="1">
        <f t="array" aca="1" ref="G52" ca="1">INDIRECT("'T"&amp;$S$7&amp;"'!$AK"&amp;(13+C52))+INDIRECT("'T"&amp;$S$7&amp;"'!$BQ"&amp;(13+C52))</f>
        <v>0</v>
      </c>
      <c r="H52" s="50">
        <f t="shared" ca="1" si="0"/>
        <v>0</v>
      </c>
      <c r="I52" s="5" cm="1">
        <f t="array" aca="1" ref="I52" ca="1">INDIRECT("'T"&amp;$S$7&amp;"'!$BR"&amp;(13+C52))</f>
        <v>0</v>
      </c>
      <c r="J52" s="50">
        <f t="shared" ca="1" si="1"/>
        <v>0</v>
      </c>
      <c r="K52" s="5" cm="1">
        <f t="array" aca="1" ref="K52" ca="1">INDIRECT("'T"&amp;$S$7&amp;"'!$BS"&amp;(13+C52))</f>
        <v>0</v>
      </c>
      <c r="L52" s="50">
        <f t="shared" ca="1" si="2"/>
        <v>0</v>
      </c>
      <c r="M52" s="50">
        <f t="shared" ca="1" si="3"/>
        <v>0</v>
      </c>
      <c r="N52" s="7"/>
      <c r="P52" s="78"/>
      <c r="Q52" s="78"/>
      <c r="R52" s="78"/>
      <c r="S52" s="78"/>
      <c r="T52" s="78"/>
      <c r="U52" s="78"/>
    </row>
    <row r="53" spans="1:21" hidden="1" x14ac:dyDescent="0.3">
      <c r="A53" s="78"/>
      <c r="C53" s="6">
        <v>38</v>
      </c>
      <c r="D53" s="7" t="str">
        <f>IF(VLOOKUP(C53,DSNV!$C$8:$N$48,3,FALSE)="","",LEFT(VLOOKUP(C53,DSNV!$C$8:$N$48,3,FALSE),LEN(VLOOKUP(C53,DSNV!$C$8:$N$48,3,FALSE))-LEN(E53)))</f>
        <v/>
      </c>
      <c r="E53" s="7" t="str">
        <f>IF(VLOOKUP(C53,DSNV!$C$8:$N$48,4,FALSE)="","",VLOOKUP(C53,DSNV!$C$8:$N$48,4,FALSE))</f>
        <v/>
      </c>
      <c r="F53" s="6" t="str">
        <f>IF(VLOOKUP(C53,DSNV!$C$8:$N$48,5,FALSE)="","",VLOOKUP(C53,DSNV!$C$8:$N$48,5,FALSE))</f>
        <v/>
      </c>
      <c r="G53" s="48" cm="1">
        <f t="array" aca="1" ref="G53" ca="1">INDIRECT("'T"&amp;$S$7&amp;"'!$AK"&amp;(13+C53))+INDIRECT("'T"&amp;$S$7&amp;"'!$BQ"&amp;(13+C53))</f>
        <v>0</v>
      </c>
      <c r="H53" s="50">
        <f t="shared" ca="1" si="0"/>
        <v>0</v>
      </c>
      <c r="I53" s="5" cm="1">
        <f t="array" aca="1" ref="I53" ca="1">INDIRECT("'T"&amp;$S$7&amp;"'!$BR"&amp;(13+C53))</f>
        <v>0</v>
      </c>
      <c r="J53" s="50">
        <f t="shared" ca="1" si="1"/>
        <v>0</v>
      </c>
      <c r="K53" s="5" cm="1">
        <f t="array" aca="1" ref="K53" ca="1">INDIRECT("'T"&amp;$S$7&amp;"'!$BS"&amp;(13+C53))</f>
        <v>0</v>
      </c>
      <c r="L53" s="50">
        <f t="shared" ca="1" si="2"/>
        <v>0</v>
      </c>
      <c r="M53" s="50">
        <f t="shared" ca="1" si="3"/>
        <v>0</v>
      </c>
      <c r="N53" s="7"/>
      <c r="P53" s="78"/>
      <c r="Q53" s="78"/>
      <c r="R53" s="78"/>
      <c r="S53" s="78"/>
      <c r="T53" s="78"/>
      <c r="U53" s="78"/>
    </row>
    <row r="54" spans="1:21" hidden="1" x14ac:dyDescent="0.3">
      <c r="A54" s="78"/>
      <c r="C54" s="6">
        <v>39</v>
      </c>
      <c r="D54" s="7" t="str">
        <f>IF(VLOOKUP(C54,DSNV!$C$8:$N$48,3,FALSE)="","",LEFT(VLOOKUP(C54,DSNV!$C$8:$N$48,3,FALSE),LEN(VLOOKUP(C54,DSNV!$C$8:$N$48,3,FALSE))-LEN(E54)))</f>
        <v/>
      </c>
      <c r="E54" s="7" t="str">
        <f>IF(VLOOKUP(C54,DSNV!$C$8:$N$48,4,FALSE)="","",VLOOKUP(C54,DSNV!$C$8:$N$48,4,FALSE))</f>
        <v/>
      </c>
      <c r="F54" s="6" t="str">
        <f>IF(VLOOKUP(C54,DSNV!$C$8:$N$48,5,FALSE)="","",VLOOKUP(C54,DSNV!$C$8:$N$48,5,FALSE))</f>
        <v/>
      </c>
      <c r="G54" s="48" cm="1">
        <f t="array" aca="1" ref="G54" ca="1">INDIRECT("'T"&amp;$S$7&amp;"'!$AK"&amp;(13+C54))+INDIRECT("'T"&amp;$S$7&amp;"'!$BQ"&amp;(13+C54))</f>
        <v>0</v>
      </c>
      <c r="H54" s="50">
        <f t="shared" ca="1" si="0"/>
        <v>0</v>
      </c>
      <c r="I54" s="5" cm="1">
        <f t="array" aca="1" ref="I54" ca="1">INDIRECT("'T"&amp;$S$7&amp;"'!$BR"&amp;(13+C54))</f>
        <v>0</v>
      </c>
      <c r="J54" s="50">
        <f t="shared" ca="1" si="1"/>
        <v>0</v>
      </c>
      <c r="K54" s="5" cm="1">
        <f t="array" aca="1" ref="K54" ca="1">INDIRECT("'T"&amp;$S$7&amp;"'!$BS"&amp;(13+C54))</f>
        <v>0</v>
      </c>
      <c r="L54" s="50">
        <f t="shared" ca="1" si="2"/>
        <v>0</v>
      </c>
      <c r="M54" s="50">
        <f t="shared" ca="1" si="3"/>
        <v>0</v>
      </c>
      <c r="N54" s="7"/>
      <c r="P54" s="78"/>
      <c r="Q54" s="78"/>
      <c r="R54" s="78"/>
      <c r="S54" s="78"/>
      <c r="T54" s="78"/>
      <c r="U54" s="78"/>
    </row>
    <row r="55" spans="1:21" hidden="1" x14ac:dyDescent="0.3">
      <c r="A55" s="78"/>
      <c r="C55" s="8">
        <v>40</v>
      </c>
      <c r="D55" s="9" t="str">
        <f>IF(VLOOKUP(C55,DSNV!$C$8:$N$48,3,FALSE)="","",LEFT(VLOOKUP(C55,DSNV!$C$8:$N$48,3,FALSE),LEN(VLOOKUP(C55,DSNV!$C$8:$N$48,3,FALSE))-LEN(E55)))</f>
        <v/>
      </c>
      <c r="E55" s="9" t="str">
        <f>IF(VLOOKUP(C55,DSNV!$C$8:$N$48,4,FALSE)="","",VLOOKUP(C55,DSNV!$C$8:$N$48,4,FALSE))</f>
        <v/>
      </c>
      <c r="F55" s="8" t="str">
        <f>IF(VLOOKUP(C55,DSNV!$C$8:$N$48,5,FALSE)="","",VLOOKUP(C55,DSNV!$C$8:$N$48,5,FALSE))</f>
        <v/>
      </c>
      <c r="G55" s="48" cm="1">
        <f t="array" aca="1" ref="G55" ca="1">INDIRECT("'T"&amp;$S$7&amp;"'!$AK"&amp;(13+C55))+INDIRECT("'T"&amp;$S$7&amp;"'!$BQ"&amp;(13+C55))</f>
        <v>0</v>
      </c>
      <c r="H55" s="51">
        <f t="shared" ca="1" si="0"/>
        <v>0</v>
      </c>
      <c r="I55" s="5" cm="1">
        <f t="array" aca="1" ref="I55" ca="1">INDIRECT("'T"&amp;$S$7&amp;"'!$BR"&amp;(13+C55))</f>
        <v>0</v>
      </c>
      <c r="J55" s="51">
        <f t="shared" ca="1" si="1"/>
        <v>0</v>
      </c>
      <c r="K55" s="5" cm="1">
        <f t="array" aca="1" ref="K55" ca="1">INDIRECT("'T"&amp;$S$7&amp;"'!$BS"&amp;(13+C55))</f>
        <v>0</v>
      </c>
      <c r="L55" s="51">
        <f t="shared" ca="1" si="2"/>
        <v>0</v>
      </c>
      <c r="M55" s="51">
        <f t="shared" ca="1" si="3"/>
        <v>0</v>
      </c>
      <c r="N55" s="9"/>
      <c r="P55" s="78"/>
      <c r="Q55" s="78"/>
      <c r="R55" s="78"/>
      <c r="S55" s="78"/>
      <c r="T55" s="78"/>
      <c r="U55" s="78"/>
    </row>
    <row r="56" spans="1:21" x14ac:dyDescent="0.3">
      <c r="A56" s="78"/>
      <c r="C56" s="131" t="s">
        <v>53</v>
      </c>
      <c r="D56" s="131"/>
      <c r="E56" s="131"/>
      <c r="F56" s="131"/>
      <c r="G56" s="49">
        <f ca="1">SUM(G16:G55)</f>
        <v>251</v>
      </c>
      <c r="H56" s="55">
        <f t="shared" ref="H56:N56" ca="1" si="4">SUM(H16:H55)</f>
        <v>6275000</v>
      </c>
      <c r="I56" s="49">
        <f t="shared" ca="1" si="4"/>
        <v>41</v>
      </c>
      <c r="J56" s="55">
        <f t="shared" ca="1" si="4"/>
        <v>410000</v>
      </c>
      <c r="K56" s="49">
        <f t="shared" ca="1" si="4"/>
        <v>5</v>
      </c>
      <c r="L56" s="55">
        <f t="shared" ca="1" si="4"/>
        <v>250000</v>
      </c>
      <c r="M56" s="55">
        <f t="shared" ca="1" si="4"/>
        <v>6935000</v>
      </c>
      <c r="N56" s="49">
        <f t="shared" si="4"/>
        <v>0</v>
      </c>
      <c r="P56" s="78"/>
      <c r="Q56" s="78"/>
      <c r="R56" s="78"/>
      <c r="S56" s="78"/>
      <c r="T56" s="78"/>
      <c r="U56" s="78"/>
    </row>
    <row r="57" spans="1:21" x14ac:dyDescent="0.3">
      <c r="A57" s="78"/>
      <c r="P57" s="78"/>
      <c r="Q57" s="78"/>
      <c r="R57" s="78"/>
      <c r="S57" s="78"/>
      <c r="T57" s="78"/>
      <c r="U57" s="78"/>
    </row>
    <row r="58" spans="1:21" x14ac:dyDescent="0.3">
      <c r="A58" s="78"/>
      <c r="D58" s="114" t="str">
        <f ca="1">"Tổng lương nhân viên thực nhận là "&amp;TEXT(M56,"#,##0")&amp;" đồng"</f>
        <v>Tổng lương nhân viên thực nhận là 6,935,000 đồng</v>
      </c>
      <c r="L58" s="56" t="str">
        <f>"Thành phố Hồ Chí Minh, ngày "&amp;S6&amp;" tháng "&amp;S7&amp;" năm "&amp;S8</f>
        <v>Thành phố Hồ Chí Minh, ngày 21 tháng 1 năm 2021</v>
      </c>
      <c r="P58" s="78"/>
      <c r="Q58" s="78"/>
      <c r="R58" s="78"/>
      <c r="S58" s="78"/>
      <c r="T58" s="78"/>
      <c r="U58" s="78"/>
    </row>
    <row r="59" spans="1:21" x14ac:dyDescent="0.3">
      <c r="A59" s="78"/>
      <c r="P59" s="78"/>
      <c r="Q59" s="78"/>
      <c r="R59" s="78"/>
      <c r="S59" s="78"/>
      <c r="T59" s="78"/>
      <c r="U59" s="78"/>
    </row>
    <row r="60" spans="1:21" x14ac:dyDescent="0.3">
      <c r="A60" s="78"/>
      <c r="F60" s="47" t="s">
        <v>169</v>
      </c>
      <c r="L60" s="47" t="s">
        <v>167</v>
      </c>
      <c r="P60" s="78"/>
      <c r="Q60" s="78"/>
      <c r="R60" s="78"/>
      <c r="S60" s="78"/>
      <c r="T60" s="78"/>
      <c r="U60" s="78"/>
    </row>
    <row r="61" spans="1:21" x14ac:dyDescent="0.3">
      <c r="A61" s="78"/>
      <c r="L61" s="3"/>
      <c r="P61" s="78"/>
      <c r="Q61" s="78"/>
      <c r="R61" s="78"/>
      <c r="S61" s="78"/>
      <c r="T61" s="78"/>
      <c r="U61" s="78"/>
    </row>
    <row r="62" spans="1:21" x14ac:dyDescent="0.3">
      <c r="A62" s="78"/>
      <c r="L62" s="3"/>
      <c r="P62" s="78"/>
      <c r="Q62" s="78"/>
      <c r="R62" s="78"/>
      <c r="S62" s="78"/>
      <c r="T62" s="78"/>
      <c r="U62" s="78"/>
    </row>
    <row r="63" spans="1:21" x14ac:dyDescent="0.3">
      <c r="A63" s="78"/>
      <c r="L63" s="3"/>
      <c r="P63" s="78"/>
      <c r="Q63" s="78"/>
      <c r="R63" s="78"/>
      <c r="S63" s="78"/>
      <c r="T63" s="78"/>
      <c r="U63" s="78"/>
    </row>
    <row r="64" spans="1:21" x14ac:dyDescent="0.3">
      <c r="A64" s="78"/>
      <c r="F64" s="3" t="str">
        <f>Setup!E8</f>
        <v>Phạm Thị Huệ</v>
      </c>
      <c r="L64" s="3" t="str">
        <f>Setup!E7</f>
        <v>Ngô Lê Mạnh Hiếu</v>
      </c>
      <c r="P64" s="78"/>
      <c r="Q64" s="78"/>
      <c r="R64" s="78"/>
      <c r="S64" s="78"/>
      <c r="T64" s="78"/>
      <c r="U64" s="78"/>
    </row>
    <row r="65" spans="1:21" x14ac:dyDescent="0.3">
      <c r="A65" s="78"/>
      <c r="P65" s="78"/>
      <c r="Q65" s="78"/>
      <c r="R65" s="78"/>
      <c r="S65" s="78"/>
      <c r="T65" s="78"/>
      <c r="U65" s="78"/>
    </row>
    <row r="66" spans="1:21" x14ac:dyDescent="0.3">
      <c r="A66" s="78"/>
      <c r="P66" s="78"/>
      <c r="Q66" s="78"/>
      <c r="R66" s="78"/>
      <c r="S66" s="78"/>
      <c r="T66" s="78"/>
      <c r="U66" s="78"/>
    </row>
    <row r="67" spans="1:21" x14ac:dyDescent="0.3">
      <c r="A67" s="78"/>
      <c r="B67" s="78"/>
      <c r="C67" s="77"/>
      <c r="D67" s="78"/>
      <c r="E67" s="78"/>
      <c r="F67" s="77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78"/>
    </row>
    <row r="68" spans="1:21" x14ac:dyDescent="0.3">
      <c r="A68" s="78"/>
      <c r="B68" s="78"/>
      <c r="C68" s="77"/>
      <c r="D68" s="78"/>
      <c r="E68" s="78"/>
      <c r="F68" s="77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8"/>
    </row>
    <row r="69" spans="1:21" x14ac:dyDescent="0.3">
      <c r="A69" s="78"/>
      <c r="B69" s="78"/>
      <c r="C69" s="77"/>
      <c r="D69" s="78"/>
      <c r="E69" s="78"/>
      <c r="F69" s="77"/>
      <c r="G69" s="78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78"/>
    </row>
  </sheetData>
  <mergeCells count="18">
    <mergeCell ref="C6:F6"/>
    <mergeCell ref="C7:F7"/>
    <mergeCell ref="C8:F8"/>
    <mergeCell ref="C10:N10"/>
    <mergeCell ref="C11:N11"/>
    <mergeCell ref="I6:N6"/>
    <mergeCell ref="I7:N7"/>
    <mergeCell ref="I8:N8"/>
    <mergeCell ref="K13:L13"/>
    <mergeCell ref="M13:M14"/>
    <mergeCell ref="N13:N14"/>
    <mergeCell ref="C56:F56"/>
    <mergeCell ref="C13:C14"/>
    <mergeCell ref="D13:D14"/>
    <mergeCell ref="E13:E14"/>
    <mergeCell ref="F13:F14"/>
    <mergeCell ref="G13:H13"/>
    <mergeCell ref="I13:J13"/>
  </mergeCells>
  <dataValidations count="1">
    <dataValidation type="list" allowBlank="1" showInputMessage="1" showErrorMessage="1" sqref="S7" xr:uid="{BDEF5B38-3201-4127-B2FC-E9FB2C9C86C3}">
      <formula1>"1,2,3,4,5,6,7,8,9,10,11,12"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72B59-DD72-43A7-BAFD-53C15B3238D3}">
  <sheetPr codeName="Sheet21"/>
  <dimension ref="A1:T51"/>
  <sheetViews>
    <sheetView showGridLines="0" showRowColHeaders="0" workbookViewId="0">
      <pane xSplit="19" ySplit="4" topLeftCell="T5" activePane="bottomRight" state="frozen"/>
      <selection pane="topRight" activeCell="T1" sqref="T1"/>
      <selection pane="bottomLeft" activeCell="A5" sqref="A5"/>
      <selection pane="bottomRight" activeCell="O10" sqref="O10"/>
    </sheetView>
  </sheetViews>
  <sheetFormatPr defaultColWidth="0" defaultRowHeight="14.4" zeroHeight="1" x14ac:dyDescent="0.3"/>
  <cols>
    <col min="1" max="1" width="8.88671875" style="2" customWidth="1"/>
    <col min="2" max="2" width="3.33203125" style="2" customWidth="1"/>
    <col min="3" max="3" width="6.21875" style="2" customWidth="1"/>
    <col min="4" max="4" width="15.77734375" style="2" customWidth="1"/>
    <col min="5" max="5" width="21" style="2" customWidth="1"/>
    <col min="6" max="6" width="18.88671875" style="2" customWidth="1"/>
    <col min="7" max="7" width="3.33203125" style="2" customWidth="1"/>
    <col min="8" max="20" width="8.88671875" style="78" customWidth="1"/>
    <col min="21" max="16384" width="8.88671875" style="2" hidden="1"/>
  </cols>
  <sheetData>
    <row r="1" spans="1:7" s="104" customFormat="1" x14ac:dyDescent="0.3"/>
    <row r="2" spans="1:7" s="104" customFormat="1" x14ac:dyDescent="0.3"/>
    <row r="3" spans="1:7" s="110" customFormat="1" x14ac:dyDescent="0.3"/>
    <row r="4" spans="1:7" ht="15" thickBot="1" x14ac:dyDescent="0.35">
      <c r="A4" s="78"/>
      <c r="B4" s="78"/>
      <c r="C4" s="78"/>
      <c r="D4" s="78"/>
      <c r="E4" s="78"/>
      <c r="F4" s="78"/>
      <c r="G4" s="78"/>
    </row>
    <row r="5" spans="1:7" x14ac:dyDescent="0.3">
      <c r="A5" s="78"/>
      <c r="B5" s="64"/>
      <c r="C5" s="65"/>
      <c r="D5" s="65"/>
      <c r="E5" s="65"/>
      <c r="F5" s="65"/>
      <c r="G5" s="66"/>
    </row>
    <row r="6" spans="1:7" x14ac:dyDescent="0.3">
      <c r="A6" s="78"/>
      <c r="B6" s="67"/>
      <c r="C6" s="68" t="s">
        <v>142</v>
      </c>
      <c r="D6" s="69"/>
      <c r="E6" s="69"/>
      <c r="F6" s="70" t="s">
        <v>179</v>
      </c>
      <c r="G6" s="71"/>
    </row>
    <row r="7" spans="1:7" x14ac:dyDescent="0.3">
      <c r="A7" s="78"/>
      <c r="B7" s="67"/>
      <c r="C7" s="69"/>
      <c r="D7" s="69"/>
      <c r="E7" s="69"/>
      <c r="F7" s="69"/>
      <c r="G7" s="71"/>
    </row>
    <row r="8" spans="1:7" ht="18" x14ac:dyDescent="0.35">
      <c r="A8" s="78"/>
      <c r="B8" s="67"/>
      <c r="C8" s="137" t="str">
        <f>"PHIẾU LƯƠNG THÁNG "&amp;Payroll!S7</f>
        <v>PHIẾU LƯƠNG THÁNG 1</v>
      </c>
      <c r="D8" s="137"/>
      <c r="E8" s="137"/>
      <c r="F8" s="137"/>
      <c r="G8" s="71"/>
    </row>
    <row r="9" spans="1:7" x14ac:dyDescent="0.3">
      <c r="A9" s="78"/>
      <c r="B9" s="67"/>
      <c r="C9" s="69"/>
      <c r="D9" s="69"/>
      <c r="E9" s="69"/>
      <c r="F9" s="69"/>
      <c r="G9" s="71"/>
    </row>
    <row r="10" spans="1:7" x14ac:dyDescent="0.3">
      <c r="A10" s="78"/>
      <c r="B10" s="67"/>
      <c r="C10" s="69"/>
      <c r="D10" s="49" t="s">
        <v>2</v>
      </c>
      <c r="E10" s="44" t="s">
        <v>115</v>
      </c>
      <c r="F10" s="69"/>
      <c r="G10" s="71"/>
    </row>
    <row r="11" spans="1:7" x14ac:dyDescent="0.3">
      <c r="A11" s="78"/>
      <c r="B11" s="67"/>
      <c r="C11" s="69"/>
      <c r="D11" s="69"/>
      <c r="E11" s="69"/>
      <c r="F11" s="69"/>
      <c r="G11" s="71"/>
    </row>
    <row r="12" spans="1:7" x14ac:dyDescent="0.3">
      <c r="A12" s="78"/>
      <c r="B12" s="67"/>
      <c r="C12" s="58" t="s">
        <v>1</v>
      </c>
      <c r="D12" s="58" t="s">
        <v>173</v>
      </c>
      <c r="E12" s="58" t="s">
        <v>174</v>
      </c>
      <c r="F12" s="58" t="s">
        <v>8</v>
      </c>
      <c r="G12" s="71"/>
    </row>
    <row r="13" spans="1:7" x14ac:dyDescent="0.3">
      <c r="A13" s="78"/>
      <c r="B13" s="67"/>
      <c r="C13" s="4">
        <v>1</v>
      </c>
      <c r="D13" s="5" t="s">
        <v>178</v>
      </c>
      <c r="E13" s="59">
        <f ca="1">VLOOKUP(VLOOKUP(Paycheck!$E$10,DSNV!$E$8:$F$48,2,FALSE),Payroll!$E$16:$M$55,4,FALSE)</f>
        <v>350000</v>
      </c>
      <c r="F13" s="5"/>
      <c r="G13" s="71"/>
    </row>
    <row r="14" spans="1:7" x14ac:dyDescent="0.3">
      <c r="A14" s="78"/>
      <c r="B14" s="67"/>
      <c r="C14" s="6">
        <v>2</v>
      </c>
      <c r="D14" s="7" t="s">
        <v>113</v>
      </c>
      <c r="E14" s="60">
        <f ca="1">VLOOKUP(VLOOKUP(Paycheck!$E$10,DSNV!$E$8:$F$48,2,FALSE),Payroll!$E$16:$M$55,6,FALSE)</f>
        <v>50000</v>
      </c>
      <c r="F14" s="7"/>
      <c r="G14" s="71"/>
    </row>
    <row r="15" spans="1:7" x14ac:dyDescent="0.3">
      <c r="A15" s="78"/>
      <c r="B15" s="67"/>
      <c r="C15" s="6">
        <v>3</v>
      </c>
      <c r="D15" s="7" t="s">
        <v>114</v>
      </c>
      <c r="E15" s="60">
        <f ca="1">VLOOKUP(VLOOKUP(Paycheck!$E$10,DSNV!$E$8:$F$48,2,FALSE),Payroll!$E$16:$M$55,8,FALSE)</f>
        <v>0</v>
      </c>
      <c r="F15" s="7"/>
      <c r="G15" s="71"/>
    </row>
    <row r="16" spans="1:7" x14ac:dyDescent="0.3">
      <c r="A16" s="78"/>
      <c r="B16" s="67"/>
      <c r="C16" s="6">
        <v>4</v>
      </c>
      <c r="D16" s="7" t="s">
        <v>175</v>
      </c>
      <c r="E16" s="60">
        <v>0</v>
      </c>
      <c r="F16" s="7"/>
      <c r="G16" s="71"/>
    </row>
    <row r="17" spans="1:7" x14ac:dyDescent="0.3">
      <c r="A17" s="78"/>
      <c r="B17" s="67"/>
      <c r="C17" s="6">
        <v>5</v>
      </c>
      <c r="D17" s="7" t="s">
        <v>176</v>
      </c>
      <c r="E17" s="60">
        <v>0</v>
      </c>
      <c r="F17" s="7"/>
      <c r="G17" s="71"/>
    </row>
    <row r="18" spans="1:7" x14ac:dyDescent="0.3">
      <c r="A18" s="78"/>
      <c r="B18" s="67"/>
      <c r="C18" s="14">
        <v>6</v>
      </c>
      <c r="D18" s="15" t="s">
        <v>177</v>
      </c>
      <c r="E18" s="61">
        <v>0</v>
      </c>
      <c r="F18" s="15"/>
      <c r="G18" s="71"/>
    </row>
    <row r="19" spans="1:7" x14ac:dyDescent="0.3">
      <c r="A19" s="78"/>
      <c r="B19" s="67"/>
      <c r="C19" s="138" t="s">
        <v>53</v>
      </c>
      <c r="D19" s="138"/>
      <c r="E19" s="62">
        <f ca="1">SUM(E13:E18)</f>
        <v>400000</v>
      </c>
      <c r="F19" s="57"/>
      <c r="G19" s="71"/>
    </row>
    <row r="20" spans="1:7" x14ac:dyDescent="0.3">
      <c r="A20" s="78"/>
      <c r="B20" s="67"/>
      <c r="C20" s="69"/>
      <c r="D20" s="69"/>
      <c r="E20" s="69"/>
      <c r="F20" s="69"/>
      <c r="G20" s="71"/>
    </row>
    <row r="21" spans="1:7" x14ac:dyDescent="0.3">
      <c r="A21" s="78"/>
      <c r="B21" s="67"/>
      <c r="C21" s="69"/>
      <c r="D21" s="72" t="s">
        <v>180</v>
      </c>
      <c r="E21" s="69"/>
      <c r="F21" s="72" t="s">
        <v>181</v>
      </c>
      <c r="G21" s="71"/>
    </row>
    <row r="22" spans="1:7" x14ac:dyDescent="0.3">
      <c r="A22" s="78"/>
      <c r="B22" s="67"/>
      <c r="C22" s="69"/>
      <c r="D22" s="73"/>
      <c r="E22" s="69"/>
      <c r="F22" s="73"/>
      <c r="G22" s="71"/>
    </row>
    <row r="23" spans="1:7" x14ac:dyDescent="0.3">
      <c r="A23" s="78"/>
      <c r="B23" s="67"/>
      <c r="C23" s="69"/>
      <c r="D23" s="73"/>
      <c r="E23" s="69"/>
      <c r="F23" s="73"/>
      <c r="G23" s="71"/>
    </row>
    <row r="24" spans="1:7" x14ac:dyDescent="0.3">
      <c r="A24" s="78"/>
      <c r="B24" s="67"/>
      <c r="C24" s="69"/>
      <c r="D24" s="73"/>
      <c r="E24" s="69"/>
      <c r="F24" s="73"/>
      <c r="G24" s="71"/>
    </row>
    <row r="25" spans="1:7" x14ac:dyDescent="0.3">
      <c r="A25" s="78"/>
      <c r="B25" s="67"/>
      <c r="C25" s="69"/>
      <c r="D25" s="73" t="str">
        <f>Setup!E8</f>
        <v>Phạm Thị Huệ</v>
      </c>
      <c r="E25" s="69"/>
      <c r="F25" s="73" t="str">
        <f>E10</f>
        <v>Lê Thảo Nguyên</v>
      </c>
      <c r="G25" s="71"/>
    </row>
    <row r="26" spans="1:7" x14ac:dyDescent="0.3">
      <c r="A26" s="78"/>
      <c r="B26" s="67"/>
      <c r="C26" s="63"/>
      <c r="D26" s="63"/>
      <c r="E26" s="63"/>
      <c r="F26" s="63"/>
      <c r="G26" s="71"/>
    </row>
    <row r="27" spans="1:7" x14ac:dyDescent="0.3">
      <c r="A27" s="78"/>
      <c r="B27" s="67"/>
      <c r="C27" s="69"/>
      <c r="D27" s="69"/>
      <c r="E27" s="69"/>
      <c r="F27" s="69"/>
      <c r="G27" s="71"/>
    </row>
    <row r="28" spans="1:7" x14ac:dyDescent="0.3">
      <c r="A28" s="78"/>
      <c r="B28" s="67"/>
      <c r="C28" s="68" t="s">
        <v>142</v>
      </c>
      <c r="D28" s="69"/>
      <c r="E28" s="69"/>
      <c r="F28" s="70" t="s">
        <v>182</v>
      </c>
      <c r="G28" s="71"/>
    </row>
    <row r="29" spans="1:7" x14ac:dyDescent="0.3">
      <c r="A29" s="78"/>
      <c r="B29" s="67"/>
      <c r="C29" s="69"/>
      <c r="D29" s="69"/>
      <c r="E29" s="69"/>
      <c r="F29" s="69"/>
      <c r="G29" s="71"/>
    </row>
    <row r="30" spans="1:7" ht="18" x14ac:dyDescent="0.35">
      <c r="A30" s="78"/>
      <c r="B30" s="67"/>
      <c r="C30" s="137" t="str">
        <f>C8</f>
        <v>PHIẾU LƯƠNG THÁNG 1</v>
      </c>
      <c r="D30" s="137"/>
      <c r="E30" s="137"/>
      <c r="F30" s="137"/>
      <c r="G30" s="71"/>
    </row>
    <row r="31" spans="1:7" x14ac:dyDescent="0.3">
      <c r="A31" s="78"/>
      <c r="B31" s="67"/>
      <c r="C31" s="69"/>
      <c r="D31" s="69"/>
      <c r="E31" s="69"/>
      <c r="F31" s="69"/>
      <c r="G31" s="71"/>
    </row>
    <row r="32" spans="1:7" x14ac:dyDescent="0.3">
      <c r="A32" s="78"/>
      <c r="B32" s="67"/>
      <c r="C32" s="69"/>
      <c r="D32" s="49" t="s">
        <v>2</v>
      </c>
      <c r="E32" s="44" t="str">
        <f>E10</f>
        <v>Lê Thảo Nguyên</v>
      </c>
      <c r="F32" s="69"/>
      <c r="G32" s="71"/>
    </row>
    <row r="33" spans="1:7" x14ac:dyDescent="0.3">
      <c r="A33" s="78"/>
      <c r="B33" s="67"/>
      <c r="C33" s="69"/>
      <c r="D33" s="69"/>
      <c r="E33" s="69"/>
      <c r="F33" s="69"/>
      <c r="G33" s="71"/>
    </row>
    <row r="34" spans="1:7" x14ac:dyDescent="0.3">
      <c r="A34" s="78"/>
      <c r="B34" s="67"/>
      <c r="C34" s="58" t="s">
        <v>1</v>
      </c>
      <c r="D34" s="58" t="s">
        <v>173</v>
      </c>
      <c r="E34" s="58" t="s">
        <v>174</v>
      </c>
      <c r="F34" s="58" t="s">
        <v>8</v>
      </c>
      <c r="G34" s="71"/>
    </row>
    <row r="35" spans="1:7" x14ac:dyDescent="0.3">
      <c r="A35" s="78"/>
      <c r="B35" s="67"/>
      <c r="C35" s="4">
        <v>1</v>
      </c>
      <c r="D35" s="5" t="s">
        <v>178</v>
      </c>
      <c r="E35" s="59">
        <f ca="1">E13</f>
        <v>350000</v>
      </c>
      <c r="F35" s="5"/>
      <c r="G35" s="71"/>
    </row>
    <row r="36" spans="1:7" x14ac:dyDescent="0.3">
      <c r="A36" s="78"/>
      <c r="B36" s="67"/>
      <c r="C36" s="6">
        <v>2</v>
      </c>
      <c r="D36" s="7" t="s">
        <v>113</v>
      </c>
      <c r="E36" s="59">
        <f t="shared" ref="E36:E40" ca="1" si="0">E14</f>
        <v>50000</v>
      </c>
      <c r="F36" s="7"/>
      <c r="G36" s="71"/>
    </row>
    <row r="37" spans="1:7" x14ac:dyDescent="0.3">
      <c r="A37" s="78"/>
      <c r="B37" s="67"/>
      <c r="C37" s="6">
        <v>3</v>
      </c>
      <c r="D37" s="7" t="s">
        <v>114</v>
      </c>
      <c r="E37" s="59">
        <f t="shared" ca="1" si="0"/>
        <v>0</v>
      </c>
      <c r="F37" s="7"/>
      <c r="G37" s="71"/>
    </row>
    <row r="38" spans="1:7" x14ac:dyDescent="0.3">
      <c r="A38" s="78"/>
      <c r="B38" s="67"/>
      <c r="C38" s="6">
        <v>4</v>
      </c>
      <c r="D38" s="7" t="s">
        <v>175</v>
      </c>
      <c r="E38" s="59">
        <f t="shared" si="0"/>
        <v>0</v>
      </c>
      <c r="F38" s="7"/>
      <c r="G38" s="71"/>
    </row>
    <row r="39" spans="1:7" x14ac:dyDescent="0.3">
      <c r="A39" s="78"/>
      <c r="B39" s="67"/>
      <c r="C39" s="6">
        <v>5</v>
      </c>
      <c r="D39" s="7" t="s">
        <v>176</v>
      </c>
      <c r="E39" s="59">
        <f t="shared" si="0"/>
        <v>0</v>
      </c>
      <c r="F39" s="7"/>
      <c r="G39" s="71"/>
    </row>
    <row r="40" spans="1:7" x14ac:dyDescent="0.3">
      <c r="A40" s="78"/>
      <c r="B40" s="67"/>
      <c r="C40" s="14">
        <v>6</v>
      </c>
      <c r="D40" s="15" t="s">
        <v>177</v>
      </c>
      <c r="E40" s="59">
        <f t="shared" si="0"/>
        <v>0</v>
      </c>
      <c r="F40" s="15"/>
      <c r="G40" s="71"/>
    </row>
    <row r="41" spans="1:7" x14ac:dyDescent="0.3">
      <c r="A41" s="78"/>
      <c r="B41" s="67"/>
      <c r="C41" s="138" t="s">
        <v>53</v>
      </c>
      <c r="D41" s="138"/>
      <c r="E41" s="62">
        <f ca="1">SUM(E35:E40)</f>
        <v>400000</v>
      </c>
      <c r="F41" s="57"/>
      <c r="G41" s="71"/>
    </row>
    <row r="42" spans="1:7" x14ac:dyDescent="0.3">
      <c r="A42" s="78"/>
      <c r="B42" s="67"/>
      <c r="C42" s="69"/>
      <c r="D42" s="69"/>
      <c r="E42" s="69"/>
      <c r="F42" s="69"/>
      <c r="G42" s="71"/>
    </row>
    <row r="43" spans="1:7" x14ac:dyDescent="0.3">
      <c r="A43" s="78"/>
      <c r="B43" s="67"/>
      <c r="C43" s="69"/>
      <c r="D43" s="72" t="s">
        <v>180</v>
      </c>
      <c r="E43" s="69"/>
      <c r="F43" s="72" t="s">
        <v>181</v>
      </c>
      <c r="G43" s="71"/>
    </row>
    <row r="44" spans="1:7" x14ac:dyDescent="0.3">
      <c r="A44" s="78"/>
      <c r="B44" s="67"/>
      <c r="C44" s="69"/>
      <c r="D44" s="73"/>
      <c r="E44" s="69"/>
      <c r="F44" s="73"/>
      <c r="G44" s="71"/>
    </row>
    <row r="45" spans="1:7" x14ac:dyDescent="0.3">
      <c r="A45" s="78"/>
      <c r="B45" s="67"/>
      <c r="C45" s="69"/>
      <c r="D45" s="73"/>
      <c r="E45" s="69"/>
      <c r="F45" s="73"/>
      <c r="G45" s="71"/>
    </row>
    <row r="46" spans="1:7" x14ac:dyDescent="0.3">
      <c r="A46" s="78"/>
      <c r="B46" s="67"/>
      <c r="C46" s="69"/>
      <c r="D46" s="73"/>
      <c r="E46" s="69"/>
      <c r="F46" s="73"/>
      <c r="G46" s="71"/>
    </row>
    <row r="47" spans="1:7" x14ac:dyDescent="0.3">
      <c r="A47" s="78"/>
      <c r="B47" s="67"/>
      <c r="C47" s="69"/>
      <c r="D47" s="73" t="str">
        <f>D25</f>
        <v>Phạm Thị Huệ</v>
      </c>
      <c r="E47" s="69"/>
      <c r="F47" s="73" t="str">
        <f>F25</f>
        <v>Lê Thảo Nguyên</v>
      </c>
      <c r="G47" s="71"/>
    </row>
    <row r="48" spans="1:7" ht="15" thickBot="1" x14ac:dyDescent="0.35">
      <c r="A48" s="78"/>
      <c r="B48" s="74"/>
      <c r="C48" s="75"/>
      <c r="D48" s="75"/>
      <c r="E48" s="75"/>
      <c r="F48" s="75"/>
      <c r="G48" s="76"/>
    </row>
    <row r="49" spans="1:7" x14ac:dyDescent="0.3">
      <c r="A49" s="78"/>
      <c r="B49" s="78"/>
      <c r="C49" s="78"/>
      <c r="D49" s="78"/>
      <c r="E49" s="78"/>
      <c r="F49" s="78"/>
      <c r="G49" s="78"/>
    </row>
    <row r="50" spans="1:7" x14ac:dyDescent="0.3">
      <c r="A50" s="78"/>
      <c r="B50" s="78"/>
      <c r="C50" s="78"/>
      <c r="D50" s="78"/>
      <c r="E50" s="78"/>
      <c r="F50" s="78"/>
      <c r="G50" s="78"/>
    </row>
    <row r="51" spans="1:7" x14ac:dyDescent="0.3">
      <c r="A51" s="78"/>
      <c r="B51" s="78"/>
      <c r="C51" s="78"/>
      <c r="D51" s="78"/>
      <c r="E51" s="78"/>
      <c r="F51" s="78"/>
      <c r="G51" s="78"/>
    </row>
  </sheetData>
  <mergeCells count="4">
    <mergeCell ref="C8:F8"/>
    <mergeCell ref="C19:D19"/>
    <mergeCell ref="C30:F30"/>
    <mergeCell ref="C41:D41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8D888F8-75C8-461B-90E3-8769F7648CCC}">
          <x14:formula1>
            <xm:f>OFFSET(RP_All!$D$9,0,0,COUNTA(RP_All!$D$9:$D$1048576),1)</xm:f>
          </x14:formula1>
          <xm:sqref>E10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8572-57F9-47B2-9031-3089ABCA6B91}">
  <sheetPr codeName="Sheet5"/>
  <dimension ref="A1:AE46"/>
  <sheetViews>
    <sheetView showGridLines="0" showRowColHeaders="0" topLeftCell="A4" workbookViewId="0">
      <selection activeCell="D7" sqref="D7"/>
    </sheetView>
  </sheetViews>
  <sheetFormatPr defaultColWidth="0" defaultRowHeight="14.4" zeroHeight="1" x14ac:dyDescent="0.3"/>
  <cols>
    <col min="1" max="1" width="9.109375" style="20" customWidth="1"/>
    <col min="2" max="2" width="3.33203125" style="22" customWidth="1"/>
    <col min="3" max="3" width="8.88671875" style="22" customWidth="1"/>
    <col min="4" max="10" width="6.21875" style="22" customWidth="1"/>
    <col min="11" max="12" width="8.88671875" style="22" customWidth="1"/>
    <col min="13" max="19" width="6.21875" style="22" customWidth="1"/>
    <col min="20" max="21" width="8.88671875" style="22" customWidth="1"/>
    <col min="22" max="28" width="6.21875" style="22" customWidth="1"/>
    <col min="29" max="29" width="8.88671875" style="22" customWidth="1"/>
    <col min="30" max="30" width="3.33203125" style="22" customWidth="1"/>
    <col min="31" max="31" width="8.88671875" style="20" customWidth="1"/>
    <col min="32" max="16384" width="8.88671875" style="22" hidden="1"/>
  </cols>
  <sheetData>
    <row r="1" spans="2:30" x14ac:dyDescent="0.3">
      <c r="B1" s="20"/>
      <c r="C1" s="20"/>
      <c r="D1" s="21" t="s">
        <v>55</v>
      </c>
      <c r="E1" s="21" t="s">
        <v>64</v>
      </c>
      <c r="F1" s="21" t="s">
        <v>65</v>
      </c>
      <c r="G1" s="21" t="s">
        <v>66</v>
      </c>
      <c r="H1" s="21"/>
      <c r="I1" s="21"/>
      <c r="J1" s="21"/>
      <c r="K1" s="21"/>
      <c r="L1" s="21"/>
      <c r="M1" s="21" t="s">
        <v>67</v>
      </c>
      <c r="N1" s="21" t="s">
        <v>68</v>
      </c>
      <c r="O1" s="21" t="s">
        <v>69</v>
      </c>
      <c r="P1" s="21" t="s">
        <v>70</v>
      </c>
      <c r="Q1" s="21"/>
      <c r="R1" s="21"/>
      <c r="S1" s="21"/>
      <c r="T1" s="21"/>
      <c r="U1" s="21"/>
      <c r="V1" s="21" t="s">
        <v>71</v>
      </c>
      <c r="W1" s="21" t="s">
        <v>72</v>
      </c>
      <c r="X1" s="21" t="s">
        <v>73</v>
      </c>
      <c r="Y1" s="21" t="s">
        <v>74</v>
      </c>
      <c r="Z1" s="20"/>
      <c r="AA1" s="20"/>
      <c r="AB1" s="20"/>
      <c r="AC1" s="20"/>
      <c r="AD1" s="20"/>
    </row>
    <row r="2" spans="2:30" x14ac:dyDescent="0.3">
      <c r="B2" s="20"/>
      <c r="C2" s="20"/>
      <c r="D2" s="23" t="str">
        <f>"01/01/"&amp;D6</f>
        <v>01/01/2022</v>
      </c>
      <c r="E2" s="23">
        <f>V2+31</f>
        <v>44652</v>
      </c>
      <c r="F2" s="23">
        <f>W2+30</f>
        <v>44743</v>
      </c>
      <c r="G2" s="23">
        <f>X2+30</f>
        <v>44835</v>
      </c>
      <c r="H2" s="21"/>
      <c r="I2" s="21"/>
      <c r="J2" s="21"/>
      <c r="K2" s="21"/>
      <c r="L2" s="21">
        <f>IF(OR(AND(MOD(D6,4)=0,MOD(D6,100)&lt;&gt;0),MOD(D6,400)=0),29,28)</f>
        <v>28</v>
      </c>
      <c r="M2" s="23">
        <f>D2+31</f>
        <v>44593</v>
      </c>
      <c r="N2" s="23">
        <f>E2+30</f>
        <v>44682</v>
      </c>
      <c r="O2" s="23">
        <f>F2+31</f>
        <v>44774</v>
      </c>
      <c r="P2" s="23">
        <f>G2+31</f>
        <v>44866</v>
      </c>
      <c r="Q2" s="21"/>
      <c r="R2" s="21"/>
      <c r="S2" s="21"/>
      <c r="T2" s="21"/>
      <c r="U2" s="21"/>
      <c r="V2" s="23">
        <f>M2+L2</f>
        <v>44621</v>
      </c>
      <c r="W2" s="23">
        <f>N2+31</f>
        <v>44713</v>
      </c>
      <c r="X2" s="23">
        <f>O2+31</f>
        <v>44805</v>
      </c>
      <c r="Y2" s="23">
        <f>P2+30</f>
        <v>44896</v>
      </c>
      <c r="Z2" s="20"/>
      <c r="AA2" s="20"/>
      <c r="AB2" s="20"/>
      <c r="AC2" s="20"/>
      <c r="AD2" s="20"/>
    </row>
    <row r="3" spans="2:30" x14ac:dyDescent="0.3"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</row>
    <row r="4" spans="2:30" x14ac:dyDescent="0.3"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</row>
    <row r="5" spans="2:30" x14ac:dyDescent="0.3"/>
    <row r="6" spans="2:30" ht="25.8" x14ac:dyDescent="0.5">
      <c r="C6" s="24" t="s">
        <v>56</v>
      </c>
      <c r="D6" s="140">
        <v>2022</v>
      </c>
      <c r="E6" s="140"/>
      <c r="M6" s="125" t="str">
        <f>"LỊCH NĂM "&amp;D6</f>
        <v>LỊCH NĂM 2022</v>
      </c>
      <c r="N6" s="125"/>
      <c r="O6" s="125"/>
      <c r="P6" s="125"/>
      <c r="Q6" s="125"/>
      <c r="R6" s="125"/>
      <c r="S6" s="125"/>
    </row>
    <row r="7" spans="2:30" x14ac:dyDescent="0.3"/>
    <row r="8" spans="2:30" ht="15" thickBot="1" x14ac:dyDescent="0.35">
      <c r="D8" s="139" t="s">
        <v>75</v>
      </c>
      <c r="E8" s="139"/>
      <c r="F8" s="139"/>
      <c r="G8" s="139"/>
      <c r="H8" s="139"/>
      <c r="I8" s="139"/>
      <c r="J8" s="139"/>
      <c r="M8" s="141" t="s">
        <v>76</v>
      </c>
      <c r="N8" s="141"/>
      <c r="O8" s="141"/>
      <c r="P8" s="141"/>
      <c r="Q8" s="141"/>
      <c r="R8" s="141"/>
      <c r="S8" s="141"/>
      <c r="V8" s="141" t="s">
        <v>77</v>
      </c>
      <c r="W8" s="141"/>
      <c r="X8" s="141"/>
      <c r="Y8" s="141"/>
      <c r="Z8" s="141"/>
      <c r="AA8" s="141"/>
      <c r="AB8" s="141"/>
    </row>
    <row r="9" spans="2:30" ht="15" thickBot="1" x14ac:dyDescent="0.35">
      <c r="D9" s="25" t="s">
        <v>57</v>
      </c>
      <c r="E9" s="26" t="s">
        <v>58</v>
      </c>
      <c r="F9" s="26" t="s">
        <v>59</v>
      </c>
      <c r="G9" s="26" t="s">
        <v>60</v>
      </c>
      <c r="H9" s="26" t="s">
        <v>61</v>
      </c>
      <c r="I9" s="26" t="s">
        <v>62</v>
      </c>
      <c r="J9" s="27" t="s">
        <v>63</v>
      </c>
      <c r="M9" s="25" t="s">
        <v>57</v>
      </c>
      <c r="N9" s="26" t="s">
        <v>58</v>
      </c>
      <c r="O9" s="26" t="s">
        <v>59</v>
      </c>
      <c r="P9" s="26" t="s">
        <v>60</v>
      </c>
      <c r="Q9" s="26" t="s">
        <v>61</v>
      </c>
      <c r="R9" s="26" t="s">
        <v>62</v>
      </c>
      <c r="S9" s="27" t="s">
        <v>63</v>
      </c>
      <c r="V9" s="25" t="s">
        <v>57</v>
      </c>
      <c r="W9" s="26" t="s">
        <v>58</v>
      </c>
      <c r="X9" s="26" t="s">
        <v>59</v>
      </c>
      <c r="Y9" s="26" t="s">
        <v>60</v>
      </c>
      <c r="Z9" s="26" t="s">
        <v>61</v>
      </c>
      <c r="AA9" s="26" t="s">
        <v>62</v>
      </c>
      <c r="AB9" s="27" t="s">
        <v>63</v>
      </c>
    </row>
    <row r="10" spans="2:30" x14ac:dyDescent="0.3">
      <c r="D10" s="28">
        <f>D2-(WEEKDAY(D2)-1)</f>
        <v>44556</v>
      </c>
      <c r="E10" s="29">
        <f>IF(D10&lt;&gt;0,D10+1,E9+7)</f>
        <v>44557</v>
      </c>
      <c r="F10" s="29">
        <f t="shared" ref="F10:J10" si="0">IF(E10&lt;&gt;0,E10+1,F9+7)</f>
        <v>44558</v>
      </c>
      <c r="G10" s="29">
        <f t="shared" si="0"/>
        <v>44559</v>
      </c>
      <c r="H10" s="29">
        <f t="shared" si="0"/>
        <v>44560</v>
      </c>
      <c r="I10" s="29">
        <f t="shared" si="0"/>
        <v>44561</v>
      </c>
      <c r="J10" s="30">
        <f t="shared" si="0"/>
        <v>44562</v>
      </c>
      <c r="M10" s="28">
        <f>M2-(WEEKDAY(M2)-1)</f>
        <v>44591</v>
      </c>
      <c r="N10" s="29">
        <f>IF(M10&lt;&gt;0,M10+1,N9+7)</f>
        <v>44592</v>
      </c>
      <c r="O10" s="29">
        <f t="shared" ref="O10:O15" si="1">IF(N10&lt;&gt;0,N10+1,O9+7)</f>
        <v>44593</v>
      </c>
      <c r="P10" s="29">
        <f t="shared" ref="P10:P15" si="2">IF(O10&lt;&gt;0,O10+1,P9+7)</f>
        <v>44594</v>
      </c>
      <c r="Q10" s="29">
        <f t="shared" ref="Q10:Q15" si="3">IF(P10&lt;&gt;0,P10+1,Q9+7)</f>
        <v>44595</v>
      </c>
      <c r="R10" s="29">
        <f t="shared" ref="R10:R15" si="4">IF(Q10&lt;&gt;0,Q10+1,R9+7)</f>
        <v>44596</v>
      </c>
      <c r="S10" s="30">
        <f t="shared" ref="S10:S15" si="5">IF(R10&lt;&gt;0,R10+1,S9+7)</f>
        <v>44597</v>
      </c>
      <c r="V10" s="28">
        <f>V2-(WEEKDAY(V2)-1)</f>
        <v>44619</v>
      </c>
      <c r="W10" s="29">
        <f>IF(V10&lt;&gt;0,V10+1,W9+7)</f>
        <v>44620</v>
      </c>
      <c r="X10" s="29">
        <f t="shared" ref="X10:X15" si="6">IF(W10&lt;&gt;0,W10+1,X9+7)</f>
        <v>44621</v>
      </c>
      <c r="Y10" s="29">
        <f t="shared" ref="Y10:Y15" si="7">IF(X10&lt;&gt;0,X10+1,Y9+7)</f>
        <v>44622</v>
      </c>
      <c r="Z10" s="29">
        <f t="shared" ref="Z10:Z15" si="8">IF(Y10&lt;&gt;0,Y10+1,Z9+7)</f>
        <v>44623</v>
      </c>
      <c r="AA10" s="29">
        <f t="shared" ref="AA10:AA15" si="9">IF(Z10&lt;&gt;0,Z10+1,AA9+7)</f>
        <v>44624</v>
      </c>
      <c r="AB10" s="30">
        <f t="shared" ref="AB10:AB15" si="10">IF(AA10&lt;&gt;0,AA10+1,AB9+7)</f>
        <v>44625</v>
      </c>
    </row>
    <row r="11" spans="2:30" x14ac:dyDescent="0.3">
      <c r="D11" s="31">
        <f t="shared" ref="D11:J11" si="11">IF(C11&lt;&gt;0,C11+1,D10+7)</f>
        <v>44563</v>
      </c>
      <c r="E11" s="32">
        <f t="shared" si="11"/>
        <v>44564</v>
      </c>
      <c r="F11" s="32">
        <f t="shared" si="11"/>
        <v>44565</v>
      </c>
      <c r="G11" s="32">
        <f t="shared" si="11"/>
        <v>44566</v>
      </c>
      <c r="H11" s="32">
        <f t="shared" si="11"/>
        <v>44567</v>
      </c>
      <c r="I11" s="32">
        <f t="shared" si="11"/>
        <v>44568</v>
      </c>
      <c r="J11" s="33">
        <f t="shared" si="11"/>
        <v>44569</v>
      </c>
      <c r="M11" s="31">
        <f t="shared" ref="M11:M15" si="12">IF(L11&lt;&gt;0,L11+1,M10+7)</f>
        <v>44598</v>
      </c>
      <c r="N11" s="32">
        <f t="shared" ref="N11:N15" si="13">IF(M11&lt;&gt;0,M11+1,N10+7)</f>
        <v>44599</v>
      </c>
      <c r="O11" s="32">
        <f t="shared" si="1"/>
        <v>44600</v>
      </c>
      <c r="P11" s="32">
        <f t="shared" si="2"/>
        <v>44601</v>
      </c>
      <c r="Q11" s="32">
        <f t="shared" si="3"/>
        <v>44602</v>
      </c>
      <c r="R11" s="32">
        <f t="shared" si="4"/>
        <v>44603</v>
      </c>
      <c r="S11" s="33">
        <f t="shared" si="5"/>
        <v>44604</v>
      </c>
      <c r="V11" s="31">
        <f t="shared" ref="V11:V15" si="14">IF(U11&lt;&gt;0,U11+1,V10+7)</f>
        <v>44626</v>
      </c>
      <c r="W11" s="32">
        <f t="shared" ref="W11:W15" si="15">IF(V11&lt;&gt;0,V11+1,W10+7)</f>
        <v>44627</v>
      </c>
      <c r="X11" s="32">
        <f t="shared" si="6"/>
        <v>44628</v>
      </c>
      <c r="Y11" s="32">
        <f t="shared" si="7"/>
        <v>44629</v>
      </c>
      <c r="Z11" s="32">
        <f t="shared" si="8"/>
        <v>44630</v>
      </c>
      <c r="AA11" s="32">
        <f t="shared" si="9"/>
        <v>44631</v>
      </c>
      <c r="AB11" s="33">
        <f t="shared" si="10"/>
        <v>44632</v>
      </c>
    </row>
    <row r="12" spans="2:30" x14ac:dyDescent="0.3">
      <c r="D12" s="31">
        <f t="shared" ref="D12:J12" si="16">IF(C12&lt;&gt;0,C12+1,D11+7)</f>
        <v>44570</v>
      </c>
      <c r="E12" s="32">
        <f t="shared" si="16"/>
        <v>44571</v>
      </c>
      <c r="F12" s="32">
        <f t="shared" si="16"/>
        <v>44572</v>
      </c>
      <c r="G12" s="32">
        <f t="shared" si="16"/>
        <v>44573</v>
      </c>
      <c r="H12" s="32">
        <f t="shared" si="16"/>
        <v>44574</v>
      </c>
      <c r="I12" s="32">
        <f t="shared" si="16"/>
        <v>44575</v>
      </c>
      <c r="J12" s="33">
        <f t="shared" si="16"/>
        <v>44576</v>
      </c>
      <c r="M12" s="31">
        <f t="shared" si="12"/>
        <v>44605</v>
      </c>
      <c r="N12" s="32">
        <f t="shared" si="13"/>
        <v>44606</v>
      </c>
      <c r="O12" s="32">
        <f t="shared" si="1"/>
        <v>44607</v>
      </c>
      <c r="P12" s="32">
        <f t="shared" si="2"/>
        <v>44608</v>
      </c>
      <c r="Q12" s="32">
        <f t="shared" si="3"/>
        <v>44609</v>
      </c>
      <c r="R12" s="32">
        <f t="shared" si="4"/>
        <v>44610</v>
      </c>
      <c r="S12" s="33">
        <f t="shared" si="5"/>
        <v>44611</v>
      </c>
      <c r="V12" s="31">
        <f t="shared" si="14"/>
        <v>44633</v>
      </c>
      <c r="W12" s="32">
        <f t="shared" si="15"/>
        <v>44634</v>
      </c>
      <c r="X12" s="32">
        <f t="shared" si="6"/>
        <v>44635</v>
      </c>
      <c r="Y12" s="32">
        <f t="shared" si="7"/>
        <v>44636</v>
      </c>
      <c r="Z12" s="32">
        <f t="shared" si="8"/>
        <v>44637</v>
      </c>
      <c r="AA12" s="32">
        <f t="shared" si="9"/>
        <v>44638</v>
      </c>
      <c r="AB12" s="33">
        <f t="shared" si="10"/>
        <v>44639</v>
      </c>
    </row>
    <row r="13" spans="2:30" x14ac:dyDescent="0.3">
      <c r="D13" s="31">
        <f t="shared" ref="D13:J13" si="17">IF(C13&lt;&gt;0,C13+1,D12+7)</f>
        <v>44577</v>
      </c>
      <c r="E13" s="32">
        <f t="shared" si="17"/>
        <v>44578</v>
      </c>
      <c r="F13" s="32">
        <f t="shared" si="17"/>
        <v>44579</v>
      </c>
      <c r="G13" s="32">
        <f t="shared" si="17"/>
        <v>44580</v>
      </c>
      <c r="H13" s="32">
        <f t="shared" si="17"/>
        <v>44581</v>
      </c>
      <c r="I13" s="32">
        <f t="shared" si="17"/>
        <v>44582</v>
      </c>
      <c r="J13" s="33">
        <f t="shared" si="17"/>
        <v>44583</v>
      </c>
      <c r="M13" s="31">
        <f t="shared" si="12"/>
        <v>44612</v>
      </c>
      <c r="N13" s="32">
        <f t="shared" si="13"/>
        <v>44613</v>
      </c>
      <c r="O13" s="32">
        <f t="shared" si="1"/>
        <v>44614</v>
      </c>
      <c r="P13" s="32">
        <f t="shared" si="2"/>
        <v>44615</v>
      </c>
      <c r="Q13" s="32">
        <f t="shared" si="3"/>
        <v>44616</v>
      </c>
      <c r="R13" s="32">
        <f t="shared" si="4"/>
        <v>44617</v>
      </c>
      <c r="S13" s="33">
        <f t="shared" si="5"/>
        <v>44618</v>
      </c>
      <c r="V13" s="31">
        <f t="shared" si="14"/>
        <v>44640</v>
      </c>
      <c r="W13" s="32">
        <f t="shared" si="15"/>
        <v>44641</v>
      </c>
      <c r="X13" s="32">
        <f t="shared" si="6"/>
        <v>44642</v>
      </c>
      <c r="Y13" s="32">
        <f t="shared" si="7"/>
        <v>44643</v>
      </c>
      <c r="Z13" s="32">
        <f t="shared" si="8"/>
        <v>44644</v>
      </c>
      <c r="AA13" s="32">
        <f t="shared" si="9"/>
        <v>44645</v>
      </c>
      <c r="AB13" s="33">
        <f t="shared" si="10"/>
        <v>44646</v>
      </c>
    </row>
    <row r="14" spans="2:30" x14ac:dyDescent="0.3">
      <c r="D14" s="31">
        <f t="shared" ref="D14:J14" si="18">IF(C14&lt;&gt;0,C14+1,D13+7)</f>
        <v>44584</v>
      </c>
      <c r="E14" s="32">
        <f t="shared" si="18"/>
        <v>44585</v>
      </c>
      <c r="F14" s="32">
        <f t="shared" si="18"/>
        <v>44586</v>
      </c>
      <c r="G14" s="32">
        <f t="shared" si="18"/>
        <v>44587</v>
      </c>
      <c r="H14" s="32">
        <f t="shared" si="18"/>
        <v>44588</v>
      </c>
      <c r="I14" s="32">
        <f t="shared" si="18"/>
        <v>44589</v>
      </c>
      <c r="J14" s="33">
        <f t="shared" si="18"/>
        <v>44590</v>
      </c>
      <c r="M14" s="31">
        <f t="shared" si="12"/>
        <v>44619</v>
      </c>
      <c r="N14" s="32">
        <f t="shared" si="13"/>
        <v>44620</v>
      </c>
      <c r="O14" s="32">
        <f t="shared" si="1"/>
        <v>44621</v>
      </c>
      <c r="P14" s="32">
        <f t="shared" si="2"/>
        <v>44622</v>
      </c>
      <c r="Q14" s="32">
        <f t="shared" si="3"/>
        <v>44623</v>
      </c>
      <c r="R14" s="32">
        <f t="shared" si="4"/>
        <v>44624</v>
      </c>
      <c r="S14" s="33">
        <f t="shared" si="5"/>
        <v>44625</v>
      </c>
      <c r="V14" s="31">
        <f t="shared" si="14"/>
        <v>44647</v>
      </c>
      <c r="W14" s="32">
        <f t="shared" si="15"/>
        <v>44648</v>
      </c>
      <c r="X14" s="32">
        <f t="shared" si="6"/>
        <v>44649</v>
      </c>
      <c r="Y14" s="32">
        <f t="shared" si="7"/>
        <v>44650</v>
      </c>
      <c r="Z14" s="32">
        <f t="shared" si="8"/>
        <v>44651</v>
      </c>
      <c r="AA14" s="32">
        <f t="shared" si="9"/>
        <v>44652</v>
      </c>
      <c r="AB14" s="33">
        <f t="shared" si="10"/>
        <v>44653</v>
      </c>
    </row>
    <row r="15" spans="2:30" ht="15" thickBot="1" x14ac:dyDescent="0.35">
      <c r="D15" s="34">
        <f t="shared" ref="D15:J15" si="19">IF(C15&lt;&gt;0,C15+1,D14+7)</f>
        <v>44591</v>
      </c>
      <c r="E15" s="35">
        <f t="shared" si="19"/>
        <v>44592</v>
      </c>
      <c r="F15" s="35">
        <f t="shared" si="19"/>
        <v>44593</v>
      </c>
      <c r="G15" s="35">
        <f t="shared" si="19"/>
        <v>44594</v>
      </c>
      <c r="H15" s="35">
        <f t="shared" si="19"/>
        <v>44595</v>
      </c>
      <c r="I15" s="35">
        <f t="shared" si="19"/>
        <v>44596</v>
      </c>
      <c r="J15" s="36">
        <f t="shared" si="19"/>
        <v>44597</v>
      </c>
      <c r="M15" s="34">
        <f t="shared" si="12"/>
        <v>44626</v>
      </c>
      <c r="N15" s="35">
        <f t="shared" si="13"/>
        <v>44627</v>
      </c>
      <c r="O15" s="35">
        <f t="shared" si="1"/>
        <v>44628</v>
      </c>
      <c r="P15" s="35">
        <f t="shared" si="2"/>
        <v>44629</v>
      </c>
      <c r="Q15" s="35">
        <f t="shared" si="3"/>
        <v>44630</v>
      </c>
      <c r="R15" s="35">
        <f t="shared" si="4"/>
        <v>44631</v>
      </c>
      <c r="S15" s="36">
        <f t="shared" si="5"/>
        <v>44632</v>
      </c>
      <c r="V15" s="34">
        <f t="shared" si="14"/>
        <v>44654</v>
      </c>
      <c r="W15" s="35">
        <f t="shared" si="15"/>
        <v>44655</v>
      </c>
      <c r="X15" s="35">
        <f t="shared" si="6"/>
        <v>44656</v>
      </c>
      <c r="Y15" s="35">
        <f t="shared" si="7"/>
        <v>44657</v>
      </c>
      <c r="Z15" s="35">
        <f t="shared" si="8"/>
        <v>44658</v>
      </c>
      <c r="AA15" s="35">
        <f t="shared" si="9"/>
        <v>44659</v>
      </c>
      <c r="AB15" s="36">
        <f t="shared" si="10"/>
        <v>44660</v>
      </c>
    </row>
    <row r="16" spans="2:30" x14ac:dyDescent="0.3"/>
    <row r="17" spans="4:28" ht="15" thickBot="1" x14ac:dyDescent="0.35">
      <c r="D17" s="139" t="s">
        <v>78</v>
      </c>
      <c r="E17" s="139"/>
      <c r="F17" s="139"/>
      <c r="G17" s="139"/>
      <c r="H17" s="139"/>
      <c r="I17" s="139"/>
      <c r="J17" s="139"/>
      <c r="M17" s="139" t="s">
        <v>79</v>
      </c>
      <c r="N17" s="139"/>
      <c r="O17" s="139"/>
      <c r="P17" s="139"/>
      <c r="Q17" s="139"/>
      <c r="R17" s="139"/>
      <c r="S17" s="139"/>
      <c r="V17" s="139" t="s">
        <v>80</v>
      </c>
      <c r="W17" s="139"/>
      <c r="X17" s="139"/>
      <c r="Y17" s="139"/>
      <c r="Z17" s="139"/>
      <c r="AA17" s="139"/>
      <c r="AB17" s="139"/>
    </row>
    <row r="18" spans="4:28" ht="15" thickBot="1" x14ac:dyDescent="0.35">
      <c r="D18" s="25" t="s">
        <v>57</v>
      </c>
      <c r="E18" s="26" t="s">
        <v>58</v>
      </c>
      <c r="F18" s="26" t="s">
        <v>59</v>
      </c>
      <c r="G18" s="26" t="s">
        <v>60</v>
      </c>
      <c r="H18" s="26" t="s">
        <v>61</v>
      </c>
      <c r="I18" s="26" t="s">
        <v>62</v>
      </c>
      <c r="J18" s="27" t="s">
        <v>63</v>
      </c>
      <c r="M18" s="25" t="s">
        <v>57</v>
      </c>
      <c r="N18" s="26" t="s">
        <v>58</v>
      </c>
      <c r="O18" s="26" t="s">
        <v>59</v>
      </c>
      <c r="P18" s="26" t="s">
        <v>60</v>
      </c>
      <c r="Q18" s="26" t="s">
        <v>61</v>
      </c>
      <c r="R18" s="26" t="s">
        <v>62</v>
      </c>
      <c r="S18" s="27" t="s">
        <v>63</v>
      </c>
      <c r="V18" s="25" t="s">
        <v>57</v>
      </c>
      <c r="W18" s="26" t="s">
        <v>58</v>
      </c>
      <c r="X18" s="26" t="s">
        <v>59</v>
      </c>
      <c r="Y18" s="26" t="s">
        <v>60</v>
      </c>
      <c r="Z18" s="26" t="s">
        <v>61</v>
      </c>
      <c r="AA18" s="26" t="s">
        <v>62</v>
      </c>
      <c r="AB18" s="27" t="s">
        <v>63</v>
      </c>
    </row>
    <row r="19" spans="4:28" x14ac:dyDescent="0.3">
      <c r="D19" s="28">
        <f>E2-(WEEKDAY(E2)-1)</f>
        <v>44647</v>
      </c>
      <c r="E19" s="29">
        <f>IF(D19&lt;&gt;0,D19+1,E18+7)</f>
        <v>44648</v>
      </c>
      <c r="F19" s="29">
        <f t="shared" ref="F19:F24" si="20">IF(E19&lt;&gt;0,E19+1,F18+7)</f>
        <v>44649</v>
      </c>
      <c r="G19" s="29">
        <f t="shared" ref="G19:G24" si="21">IF(F19&lt;&gt;0,F19+1,G18+7)</f>
        <v>44650</v>
      </c>
      <c r="H19" s="29">
        <f t="shared" ref="H19:H24" si="22">IF(G19&lt;&gt;0,G19+1,H18+7)</f>
        <v>44651</v>
      </c>
      <c r="I19" s="29">
        <f t="shared" ref="I19:I24" si="23">IF(H19&lt;&gt;0,H19+1,I18+7)</f>
        <v>44652</v>
      </c>
      <c r="J19" s="30">
        <f t="shared" ref="J19:J24" si="24">IF(I19&lt;&gt;0,I19+1,J18+7)</f>
        <v>44653</v>
      </c>
      <c r="M19" s="28">
        <f>N2-(WEEKDAY(N2)-1)</f>
        <v>44682</v>
      </c>
      <c r="N19" s="29">
        <f>IF(M19&lt;&gt;0,M19+1,N18+7)</f>
        <v>44683</v>
      </c>
      <c r="O19" s="29">
        <f t="shared" ref="O19:O24" si="25">IF(N19&lt;&gt;0,N19+1,O18+7)</f>
        <v>44684</v>
      </c>
      <c r="P19" s="29">
        <f t="shared" ref="P19:P24" si="26">IF(O19&lt;&gt;0,O19+1,P18+7)</f>
        <v>44685</v>
      </c>
      <c r="Q19" s="29">
        <f t="shared" ref="Q19:Q24" si="27">IF(P19&lt;&gt;0,P19+1,Q18+7)</f>
        <v>44686</v>
      </c>
      <c r="R19" s="29">
        <f t="shared" ref="R19:R24" si="28">IF(Q19&lt;&gt;0,Q19+1,R18+7)</f>
        <v>44687</v>
      </c>
      <c r="S19" s="30">
        <f t="shared" ref="S19:S24" si="29">IF(R19&lt;&gt;0,R19+1,S18+7)</f>
        <v>44688</v>
      </c>
      <c r="V19" s="28">
        <f>W2-(WEEKDAY(W2)-1)</f>
        <v>44710</v>
      </c>
      <c r="W19" s="29">
        <f>IF(V19&lt;&gt;0,V19+1,W18+7)</f>
        <v>44711</v>
      </c>
      <c r="X19" s="29">
        <f t="shared" ref="X19:X24" si="30">IF(W19&lt;&gt;0,W19+1,X18+7)</f>
        <v>44712</v>
      </c>
      <c r="Y19" s="29">
        <f t="shared" ref="Y19:Y24" si="31">IF(X19&lt;&gt;0,X19+1,Y18+7)</f>
        <v>44713</v>
      </c>
      <c r="Z19" s="29">
        <f t="shared" ref="Z19:Z24" si="32">IF(Y19&lt;&gt;0,Y19+1,Z18+7)</f>
        <v>44714</v>
      </c>
      <c r="AA19" s="29">
        <f t="shared" ref="AA19:AA24" si="33">IF(Z19&lt;&gt;0,Z19+1,AA18+7)</f>
        <v>44715</v>
      </c>
      <c r="AB19" s="30">
        <f t="shared" ref="AB19:AB24" si="34">IF(AA19&lt;&gt;0,AA19+1,AB18+7)</f>
        <v>44716</v>
      </c>
    </row>
    <row r="20" spans="4:28" x14ac:dyDescent="0.3">
      <c r="D20" s="31">
        <f t="shared" ref="D20:D24" si="35">IF(C20&lt;&gt;0,C20+1,D19+7)</f>
        <v>44654</v>
      </c>
      <c r="E20" s="32">
        <f t="shared" ref="E20:E24" si="36">IF(D20&lt;&gt;0,D20+1,E19+7)</f>
        <v>44655</v>
      </c>
      <c r="F20" s="32">
        <f t="shared" si="20"/>
        <v>44656</v>
      </c>
      <c r="G20" s="32">
        <f t="shared" si="21"/>
        <v>44657</v>
      </c>
      <c r="H20" s="32">
        <f t="shared" si="22"/>
        <v>44658</v>
      </c>
      <c r="I20" s="32">
        <f t="shared" si="23"/>
        <v>44659</v>
      </c>
      <c r="J20" s="33">
        <f t="shared" si="24"/>
        <v>44660</v>
      </c>
      <c r="M20" s="31">
        <f t="shared" ref="M20:M24" si="37">IF(L20&lt;&gt;0,L20+1,M19+7)</f>
        <v>44689</v>
      </c>
      <c r="N20" s="32">
        <f t="shared" ref="N20:N24" si="38">IF(M20&lt;&gt;0,M20+1,N19+7)</f>
        <v>44690</v>
      </c>
      <c r="O20" s="32">
        <f t="shared" si="25"/>
        <v>44691</v>
      </c>
      <c r="P20" s="32">
        <f t="shared" si="26"/>
        <v>44692</v>
      </c>
      <c r="Q20" s="32">
        <f t="shared" si="27"/>
        <v>44693</v>
      </c>
      <c r="R20" s="32">
        <f t="shared" si="28"/>
        <v>44694</v>
      </c>
      <c r="S20" s="33">
        <f t="shared" si="29"/>
        <v>44695</v>
      </c>
      <c r="V20" s="31">
        <f t="shared" ref="V20:V24" si="39">IF(U20&lt;&gt;0,U20+1,V19+7)</f>
        <v>44717</v>
      </c>
      <c r="W20" s="32">
        <f t="shared" ref="W20:W24" si="40">IF(V20&lt;&gt;0,V20+1,W19+7)</f>
        <v>44718</v>
      </c>
      <c r="X20" s="32">
        <f t="shared" si="30"/>
        <v>44719</v>
      </c>
      <c r="Y20" s="32">
        <f t="shared" si="31"/>
        <v>44720</v>
      </c>
      <c r="Z20" s="32">
        <f t="shared" si="32"/>
        <v>44721</v>
      </c>
      <c r="AA20" s="32">
        <f t="shared" si="33"/>
        <v>44722</v>
      </c>
      <c r="AB20" s="33">
        <f t="shared" si="34"/>
        <v>44723</v>
      </c>
    </row>
    <row r="21" spans="4:28" x14ac:dyDescent="0.3">
      <c r="D21" s="31">
        <f t="shared" si="35"/>
        <v>44661</v>
      </c>
      <c r="E21" s="32">
        <f t="shared" si="36"/>
        <v>44662</v>
      </c>
      <c r="F21" s="32">
        <f t="shared" si="20"/>
        <v>44663</v>
      </c>
      <c r="G21" s="32">
        <f t="shared" si="21"/>
        <v>44664</v>
      </c>
      <c r="H21" s="32">
        <f t="shared" si="22"/>
        <v>44665</v>
      </c>
      <c r="I21" s="32">
        <f t="shared" si="23"/>
        <v>44666</v>
      </c>
      <c r="J21" s="33">
        <f t="shared" si="24"/>
        <v>44667</v>
      </c>
      <c r="M21" s="31">
        <f t="shared" si="37"/>
        <v>44696</v>
      </c>
      <c r="N21" s="32">
        <f t="shared" si="38"/>
        <v>44697</v>
      </c>
      <c r="O21" s="32">
        <f t="shared" si="25"/>
        <v>44698</v>
      </c>
      <c r="P21" s="32">
        <f t="shared" si="26"/>
        <v>44699</v>
      </c>
      <c r="Q21" s="32">
        <f t="shared" si="27"/>
        <v>44700</v>
      </c>
      <c r="R21" s="32">
        <f t="shared" si="28"/>
        <v>44701</v>
      </c>
      <c r="S21" s="33">
        <f t="shared" si="29"/>
        <v>44702</v>
      </c>
      <c r="V21" s="31">
        <f t="shared" si="39"/>
        <v>44724</v>
      </c>
      <c r="W21" s="32">
        <f t="shared" si="40"/>
        <v>44725</v>
      </c>
      <c r="X21" s="32">
        <f t="shared" si="30"/>
        <v>44726</v>
      </c>
      <c r="Y21" s="32">
        <f t="shared" si="31"/>
        <v>44727</v>
      </c>
      <c r="Z21" s="32">
        <f t="shared" si="32"/>
        <v>44728</v>
      </c>
      <c r="AA21" s="32">
        <f t="shared" si="33"/>
        <v>44729</v>
      </c>
      <c r="AB21" s="33">
        <f t="shared" si="34"/>
        <v>44730</v>
      </c>
    </row>
    <row r="22" spans="4:28" x14ac:dyDescent="0.3">
      <c r="D22" s="31">
        <f t="shared" si="35"/>
        <v>44668</v>
      </c>
      <c r="E22" s="32">
        <f t="shared" si="36"/>
        <v>44669</v>
      </c>
      <c r="F22" s="32">
        <f t="shared" si="20"/>
        <v>44670</v>
      </c>
      <c r="G22" s="32">
        <f t="shared" si="21"/>
        <v>44671</v>
      </c>
      <c r="H22" s="32">
        <f t="shared" si="22"/>
        <v>44672</v>
      </c>
      <c r="I22" s="32">
        <f t="shared" si="23"/>
        <v>44673</v>
      </c>
      <c r="J22" s="33">
        <f t="shared" si="24"/>
        <v>44674</v>
      </c>
      <c r="M22" s="31">
        <f t="shared" si="37"/>
        <v>44703</v>
      </c>
      <c r="N22" s="32">
        <f t="shared" si="38"/>
        <v>44704</v>
      </c>
      <c r="O22" s="32">
        <f t="shared" si="25"/>
        <v>44705</v>
      </c>
      <c r="P22" s="32">
        <f t="shared" si="26"/>
        <v>44706</v>
      </c>
      <c r="Q22" s="32">
        <f t="shared" si="27"/>
        <v>44707</v>
      </c>
      <c r="R22" s="32">
        <f t="shared" si="28"/>
        <v>44708</v>
      </c>
      <c r="S22" s="33">
        <f t="shared" si="29"/>
        <v>44709</v>
      </c>
      <c r="V22" s="31">
        <f t="shared" si="39"/>
        <v>44731</v>
      </c>
      <c r="W22" s="32">
        <f t="shared" si="40"/>
        <v>44732</v>
      </c>
      <c r="X22" s="32">
        <f t="shared" si="30"/>
        <v>44733</v>
      </c>
      <c r="Y22" s="32">
        <f t="shared" si="31"/>
        <v>44734</v>
      </c>
      <c r="Z22" s="32">
        <f t="shared" si="32"/>
        <v>44735</v>
      </c>
      <c r="AA22" s="32">
        <f t="shared" si="33"/>
        <v>44736</v>
      </c>
      <c r="AB22" s="33">
        <f t="shared" si="34"/>
        <v>44737</v>
      </c>
    </row>
    <row r="23" spans="4:28" x14ac:dyDescent="0.3">
      <c r="D23" s="31">
        <f t="shared" si="35"/>
        <v>44675</v>
      </c>
      <c r="E23" s="32">
        <f t="shared" si="36"/>
        <v>44676</v>
      </c>
      <c r="F23" s="32">
        <f t="shared" si="20"/>
        <v>44677</v>
      </c>
      <c r="G23" s="32">
        <f t="shared" si="21"/>
        <v>44678</v>
      </c>
      <c r="H23" s="32">
        <f t="shared" si="22"/>
        <v>44679</v>
      </c>
      <c r="I23" s="32">
        <f t="shared" si="23"/>
        <v>44680</v>
      </c>
      <c r="J23" s="33">
        <f t="shared" si="24"/>
        <v>44681</v>
      </c>
      <c r="M23" s="31">
        <f t="shared" si="37"/>
        <v>44710</v>
      </c>
      <c r="N23" s="32">
        <f t="shared" si="38"/>
        <v>44711</v>
      </c>
      <c r="O23" s="32">
        <f t="shared" si="25"/>
        <v>44712</v>
      </c>
      <c r="P23" s="32">
        <f t="shared" si="26"/>
        <v>44713</v>
      </c>
      <c r="Q23" s="32">
        <f t="shared" si="27"/>
        <v>44714</v>
      </c>
      <c r="R23" s="32">
        <f t="shared" si="28"/>
        <v>44715</v>
      </c>
      <c r="S23" s="33">
        <f t="shared" si="29"/>
        <v>44716</v>
      </c>
      <c r="V23" s="31">
        <f t="shared" si="39"/>
        <v>44738</v>
      </c>
      <c r="W23" s="32">
        <f t="shared" si="40"/>
        <v>44739</v>
      </c>
      <c r="X23" s="32">
        <f t="shared" si="30"/>
        <v>44740</v>
      </c>
      <c r="Y23" s="32">
        <f t="shared" si="31"/>
        <v>44741</v>
      </c>
      <c r="Z23" s="32">
        <f t="shared" si="32"/>
        <v>44742</v>
      </c>
      <c r="AA23" s="32">
        <f t="shared" si="33"/>
        <v>44743</v>
      </c>
      <c r="AB23" s="33">
        <f t="shared" si="34"/>
        <v>44744</v>
      </c>
    </row>
    <row r="24" spans="4:28" ht="15" thickBot="1" x14ac:dyDescent="0.35">
      <c r="D24" s="34">
        <f t="shared" si="35"/>
        <v>44682</v>
      </c>
      <c r="E24" s="35">
        <f t="shared" si="36"/>
        <v>44683</v>
      </c>
      <c r="F24" s="35">
        <f t="shared" si="20"/>
        <v>44684</v>
      </c>
      <c r="G24" s="35">
        <f t="shared" si="21"/>
        <v>44685</v>
      </c>
      <c r="H24" s="35">
        <f t="shared" si="22"/>
        <v>44686</v>
      </c>
      <c r="I24" s="35">
        <f t="shared" si="23"/>
        <v>44687</v>
      </c>
      <c r="J24" s="36">
        <f t="shared" si="24"/>
        <v>44688</v>
      </c>
      <c r="M24" s="34">
        <f t="shared" si="37"/>
        <v>44717</v>
      </c>
      <c r="N24" s="35">
        <f t="shared" si="38"/>
        <v>44718</v>
      </c>
      <c r="O24" s="35">
        <f t="shared" si="25"/>
        <v>44719</v>
      </c>
      <c r="P24" s="35">
        <f t="shared" si="26"/>
        <v>44720</v>
      </c>
      <c r="Q24" s="35">
        <f t="shared" si="27"/>
        <v>44721</v>
      </c>
      <c r="R24" s="35">
        <f t="shared" si="28"/>
        <v>44722</v>
      </c>
      <c r="S24" s="36">
        <f t="shared" si="29"/>
        <v>44723</v>
      </c>
      <c r="V24" s="34">
        <f t="shared" si="39"/>
        <v>44745</v>
      </c>
      <c r="W24" s="35">
        <f t="shared" si="40"/>
        <v>44746</v>
      </c>
      <c r="X24" s="35">
        <f t="shared" si="30"/>
        <v>44747</v>
      </c>
      <c r="Y24" s="35">
        <f t="shared" si="31"/>
        <v>44748</v>
      </c>
      <c r="Z24" s="35">
        <f t="shared" si="32"/>
        <v>44749</v>
      </c>
      <c r="AA24" s="35">
        <f t="shared" si="33"/>
        <v>44750</v>
      </c>
      <c r="AB24" s="36">
        <f t="shared" si="34"/>
        <v>44751</v>
      </c>
    </row>
    <row r="25" spans="4:28" x14ac:dyDescent="0.3"/>
    <row r="26" spans="4:28" ht="15" thickBot="1" x14ac:dyDescent="0.35">
      <c r="D26" s="139" t="s">
        <v>84</v>
      </c>
      <c r="E26" s="139"/>
      <c r="F26" s="139"/>
      <c r="G26" s="139"/>
      <c r="H26" s="139"/>
      <c r="I26" s="139"/>
      <c r="J26" s="139"/>
      <c r="M26" s="139" t="s">
        <v>81</v>
      </c>
      <c r="N26" s="139"/>
      <c r="O26" s="139"/>
      <c r="P26" s="139"/>
      <c r="Q26" s="139"/>
      <c r="R26" s="139"/>
      <c r="S26" s="139"/>
      <c r="V26" s="139" t="s">
        <v>82</v>
      </c>
      <c r="W26" s="139"/>
      <c r="X26" s="139"/>
      <c r="Y26" s="139"/>
      <c r="Z26" s="139"/>
      <c r="AA26" s="139"/>
      <c r="AB26" s="139"/>
    </row>
    <row r="27" spans="4:28" ht="15" thickBot="1" x14ac:dyDescent="0.35">
      <c r="D27" s="25" t="s">
        <v>57</v>
      </c>
      <c r="E27" s="26" t="s">
        <v>58</v>
      </c>
      <c r="F27" s="26" t="s">
        <v>59</v>
      </c>
      <c r="G27" s="26" t="s">
        <v>60</v>
      </c>
      <c r="H27" s="26" t="s">
        <v>61</v>
      </c>
      <c r="I27" s="26" t="s">
        <v>62</v>
      </c>
      <c r="J27" s="27" t="s">
        <v>63</v>
      </c>
      <c r="M27" s="25" t="s">
        <v>57</v>
      </c>
      <c r="N27" s="26" t="s">
        <v>58</v>
      </c>
      <c r="O27" s="26" t="s">
        <v>59</v>
      </c>
      <c r="P27" s="26" t="s">
        <v>60</v>
      </c>
      <c r="Q27" s="26" t="s">
        <v>61</v>
      </c>
      <c r="R27" s="26" t="s">
        <v>62</v>
      </c>
      <c r="S27" s="27" t="s">
        <v>63</v>
      </c>
      <c r="V27" s="25" t="s">
        <v>57</v>
      </c>
      <c r="W27" s="26" t="s">
        <v>58</v>
      </c>
      <c r="X27" s="26" t="s">
        <v>59</v>
      </c>
      <c r="Y27" s="26" t="s">
        <v>60</v>
      </c>
      <c r="Z27" s="26" t="s">
        <v>61</v>
      </c>
      <c r="AA27" s="26" t="s">
        <v>62</v>
      </c>
      <c r="AB27" s="27" t="s">
        <v>63</v>
      </c>
    </row>
    <row r="28" spans="4:28" x14ac:dyDescent="0.3">
      <c r="D28" s="28">
        <f>F2-(WEEKDAY(F2)-1)</f>
        <v>44738</v>
      </c>
      <c r="E28" s="29">
        <f>IF(D28&lt;&gt;0,D28+1,E27+7)</f>
        <v>44739</v>
      </c>
      <c r="F28" s="29">
        <f t="shared" ref="F28:F33" si="41">IF(E28&lt;&gt;0,E28+1,F27+7)</f>
        <v>44740</v>
      </c>
      <c r="G28" s="29">
        <f t="shared" ref="G28:G33" si="42">IF(F28&lt;&gt;0,F28+1,G27+7)</f>
        <v>44741</v>
      </c>
      <c r="H28" s="29">
        <f t="shared" ref="H28:H33" si="43">IF(G28&lt;&gt;0,G28+1,H27+7)</f>
        <v>44742</v>
      </c>
      <c r="I28" s="29">
        <f t="shared" ref="I28:I33" si="44">IF(H28&lt;&gt;0,H28+1,I27+7)</f>
        <v>44743</v>
      </c>
      <c r="J28" s="30">
        <f t="shared" ref="J28:J33" si="45">IF(I28&lt;&gt;0,I28+1,J27+7)</f>
        <v>44744</v>
      </c>
      <c r="M28" s="28">
        <f>O2-(WEEKDAY(O2)-1)</f>
        <v>44773</v>
      </c>
      <c r="N28" s="29">
        <f>IF(M28&lt;&gt;0,M28+1,N27+7)</f>
        <v>44774</v>
      </c>
      <c r="O28" s="29">
        <f t="shared" ref="O28:O33" si="46">IF(N28&lt;&gt;0,N28+1,O27+7)</f>
        <v>44775</v>
      </c>
      <c r="P28" s="29">
        <f t="shared" ref="P28:P33" si="47">IF(O28&lt;&gt;0,O28+1,P27+7)</f>
        <v>44776</v>
      </c>
      <c r="Q28" s="29">
        <f t="shared" ref="Q28:Q33" si="48">IF(P28&lt;&gt;0,P28+1,Q27+7)</f>
        <v>44777</v>
      </c>
      <c r="R28" s="29">
        <f t="shared" ref="R28:R33" si="49">IF(Q28&lt;&gt;0,Q28+1,R27+7)</f>
        <v>44778</v>
      </c>
      <c r="S28" s="30">
        <f t="shared" ref="S28:S33" si="50">IF(R28&lt;&gt;0,R28+1,S27+7)</f>
        <v>44779</v>
      </c>
      <c r="V28" s="28">
        <f>X2-(WEEKDAY(X2)-1)</f>
        <v>44801</v>
      </c>
      <c r="W28" s="29">
        <f>IF(V28&lt;&gt;0,V28+1,W27+7)</f>
        <v>44802</v>
      </c>
      <c r="X28" s="29">
        <f t="shared" ref="X28:X33" si="51">IF(W28&lt;&gt;0,W28+1,X27+7)</f>
        <v>44803</v>
      </c>
      <c r="Y28" s="29">
        <f t="shared" ref="Y28:Y33" si="52">IF(X28&lt;&gt;0,X28+1,Y27+7)</f>
        <v>44804</v>
      </c>
      <c r="Z28" s="29">
        <f t="shared" ref="Z28:Z33" si="53">IF(Y28&lt;&gt;0,Y28+1,Z27+7)</f>
        <v>44805</v>
      </c>
      <c r="AA28" s="29">
        <f t="shared" ref="AA28:AA33" si="54">IF(Z28&lt;&gt;0,Z28+1,AA27+7)</f>
        <v>44806</v>
      </c>
      <c r="AB28" s="30">
        <f t="shared" ref="AB28:AB33" si="55">IF(AA28&lt;&gt;0,AA28+1,AB27+7)</f>
        <v>44807</v>
      </c>
    </row>
    <row r="29" spans="4:28" x14ac:dyDescent="0.3">
      <c r="D29" s="31">
        <f t="shared" ref="D29:D33" si="56">IF(C29&lt;&gt;0,C29+1,D28+7)</f>
        <v>44745</v>
      </c>
      <c r="E29" s="32">
        <f t="shared" ref="E29:E33" si="57">IF(D29&lt;&gt;0,D29+1,E28+7)</f>
        <v>44746</v>
      </c>
      <c r="F29" s="32">
        <f t="shared" si="41"/>
        <v>44747</v>
      </c>
      <c r="G29" s="32">
        <f t="shared" si="42"/>
        <v>44748</v>
      </c>
      <c r="H29" s="32">
        <f t="shared" si="43"/>
        <v>44749</v>
      </c>
      <c r="I29" s="32">
        <f t="shared" si="44"/>
        <v>44750</v>
      </c>
      <c r="J29" s="33">
        <f t="shared" si="45"/>
        <v>44751</v>
      </c>
      <c r="M29" s="31">
        <f t="shared" ref="M29:M33" si="58">IF(L29&lt;&gt;0,L29+1,M28+7)</f>
        <v>44780</v>
      </c>
      <c r="N29" s="32">
        <f t="shared" ref="N29:N33" si="59">IF(M29&lt;&gt;0,M29+1,N28+7)</f>
        <v>44781</v>
      </c>
      <c r="O29" s="32">
        <f t="shared" si="46"/>
        <v>44782</v>
      </c>
      <c r="P29" s="32">
        <f t="shared" si="47"/>
        <v>44783</v>
      </c>
      <c r="Q29" s="32">
        <f t="shared" si="48"/>
        <v>44784</v>
      </c>
      <c r="R29" s="32">
        <f t="shared" si="49"/>
        <v>44785</v>
      </c>
      <c r="S29" s="33">
        <f t="shared" si="50"/>
        <v>44786</v>
      </c>
      <c r="V29" s="31">
        <f t="shared" ref="V29:V33" si="60">IF(U29&lt;&gt;0,U29+1,V28+7)</f>
        <v>44808</v>
      </c>
      <c r="W29" s="32">
        <f t="shared" ref="W29:W33" si="61">IF(V29&lt;&gt;0,V29+1,W28+7)</f>
        <v>44809</v>
      </c>
      <c r="X29" s="32">
        <f t="shared" si="51"/>
        <v>44810</v>
      </c>
      <c r="Y29" s="32">
        <f t="shared" si="52"/>
        <v>44811</v>
      </c>
      <c r="Z29" s="32">
        <f t="shared" si="53"/>
        <v>44812</v>
      </c>
      <c r="AA29" s="32">
        <f t="shared" si="54"/>
        <v>44813</v>
      </c>
      <c r="AB29" s="33">
        <f t="shared" si="55"/>
        <v>44814</v>
      </c>
    </row>
    <row r="30" spans="4:28" x14ac:dyDescent="0.3">
      <c r="D30" s="31">
        <f t="shared" si="56"/>
        <v>44752</v>
      </c>
      <c r="E30" s="32">
        <f t="shared" si="57"/>
        <v>44753</v>
      </c>
      <c r="F30" s="32">
        <f t="shared" si="41"/>
        <v>44754</v>
      </c>
      <c r="G30" s="32">
        <f t="shared" si="42"/>
        <v>44755</v>
      </c>
      <c r="H30" s="32">
        <f t="shared" si="43"/>
        <v>44756</v>
      </c>
      <c r="I30" s="32">
        <f t="shared" si="44"/>
        <v>44757</v>
      </c>
      <c r="J30" s="33">
        <f t="shared" si="45"/>
        <v>44758</v>
      </c>
      <c r="M30" s="31">
        <f t="shared" si="58"/>
        <v>44787</v>
      </c>
      <c r="N30" s="32">
        <f t="shared" si="59"/>
        <v>44788</v>
      </c>
      <c r="O30" s="32">
        <f t="shared" si="46"/>
        <v>44789</v>
      </c>
      <c r="P30" s="32">
        <f t="shared" si="47"/>
        <v>44790</v>
      </c>
      <c r="Q30" s="32">
        <f t="shared" si="48"/>
        <v>44791</v>
      </c>
      <c r="R30" s="32">
        <f t="shared" si="49"/>
        <v>44792</v>
      </c>
      <c r="S30" s="33">
        <f t="shared" si="50"/>
        <v>44793</v>
      </c>
      <c r="V30" s="31">
        <f t="shared" si="60"/>
        <v>44815</v>
      </c>
      <c r="W30" s="32">
        <f t="shared" si="61"/>
        <v>44816</v>
      </c>
      <c r="X30" s="32">
        <f t="shared" si="51"/>
        <v>44817</v>
      </c>
      <c r="Y30" s="32">
        <f t="shared" si="52"/>
        <v>44818</v>
      </c>
      <c r="Z30" s="32">
        <f t="shared" si="53"/>
        <v>44819</v>
      </c>
      <c r="AA30" s="32">
        <f t="shared" si="54"/>
        <v>44820</v>
      </c>
      <c r="AB30" s="33">
        <f t="shared" si="55"/>
        <v>44821</v>
      </c>
    </row>
    <row r="31" spans="4:28" x14ac:dyDescent="0.3">
      <c r="D31" s="31">
        <f t="shared" si="56"/>
        <v>44759</v>
      </c>
      <c r="E31" s="32">
        <f t="shared" si="57"/>
        <v>44760</v>
      </c>
      <c r="F31" s="32">
        <f t="shared" si="41"/>
        <v>44761</v>
      </c>
      <c r="G31" s="32">
        <f t="shared" si="42"/>
        <v>44762</v>
      </c>
      <c r="H31" s="32">
        <f t="shared" si="43"/>
        <v>44763</v>
      </c>
      <c r="I31" s="32">
        <f t="shared" si="44"/>
        <v>44764</v>
      </c>
      <c r="J31" s="33">
        <f t="shared" si="45"/>
        <v>44765</v>
      </c>
      <c r="M31" s="31">
        <f t="shared" si="58"/>
        <v>44794</v>
      </c>
      <c r="N31" s="32">
        <f t="shared" si="59"/>
        <v>44795</v>
      </c>
      <c r="O31" s="32">
        <f t="shared" si="46"/>
        <v>44796</v>
      </c>
      <c r="P31" s="32">
        <f t="shared" si="47"/>
        <v>44797</v>
      </c>
      <c r="Q31" s="32">
        <f t="shared" si="48"/>
        <v>44798</v>
      </c>
      <c r="R31" s="32">
        <f t="shared" si="49"/>
        <v>44799</v>
      </c>
      <c r="S31" s="33">
        <f t="shared" si="50"/>
        <v>44800</v>
      </c>
      <c r="V31" s="31">
        <f t="shared" si="60"/>
        <v>44822</v>
      </c>
      <c r="W31" s="32">
        <f t="shared" si="61"/>
        <v>44823</v>
      </c>
      <c r="X31" s="32">
        <f t="shared" si="51"/>
        <v>44824</v>
      </c>
      <c r="Y31" s="32">
        <f t="shared" si="52"/>
        <v>44825</v>
      </c>
      <c r="Z31" s="32">
        <f t="shared" si="53"/>
        <v>44826</v>
      </c>
      <c r="AA31" s="32">
        <f t="shared" si="54"/>
        <v>44827</v>
      </c>
      <c r="AB31" s="33">
        <f t="shared" si="55"/>
        <v>44828</v>
      </c>
    </row>
    <row r="32" spans="4:28" x14ac:dyDescent="0.3">
      <c r="D32" s="31">
        <f t="shared" si="56"/>
        <v>44766</v>
      </c>
      <c r="E32" s="32">
        <f t="shared" si="57"/>
        <v>44767</v>
      </c>
      <c r="F32" s="32">
        <f t="shared" si="41"/>
        <v>44768</v>
      </c>
      <c r="G32" s="32">
        <f t="shared" si="42"/>
        <v>44769</v>
      </c>
      <c r="H32" s="32">
        <f t="shared" si="43"/>
        <v>44770</v>
      </c>
      <c r="I32" s="32">
        <f t="shared" si="44"/>
        <v>44771</v>
      </c>
      <c r="J32" s="33">
        <f t="shared" si="45"/>
        <v>44772</v>
      </c>
      <c r="M32" s="31">
        <f t="shared" si="58"/>
        <v>44801</v>
      </c>
      <c r="N32" s="32">
        <f t="shared" si="59"/>
        <v>44802</v>
      </c>
      <c r="O32" s="32">
        <f t="shared" si="46"/>
        <v>44803</v>
      </c>
      <c r="P32" s="32">
        <f t="shared" si="47"/>
        <v>44804</v>
      </c>
      <c r="Q32" s="32">
        <f t="shared" si="48"/>
        <v>44805</v>
      </c>
      <c r="R32" s="32">
        <f t="shared" si="49"/>
        <v>44806</v>
      </c>
      <c r="S32" s="33">
        <f t="shared" si="50"/>
        <v>44807</v>
      </c>
      <c r="V32" s="31">
        <f t="shared" si="60"/>
        <v>44829</v>
      </c>
      <c r="W32" s="32">
        <f t="shared" si="61"/>
        <v>44830</v>
      </c>
      <c r="X32" s="32">
        <f t="shared" si="51"/>
        <v>44831</v>
      </c>
      <c r="Y32" s="32">
        <f t="shared" si="52"/>
        <v>44832</v>
      </c>
      <c r="Z32" s="32">
        <f t="shared" si="53"/>
        <v>44833</v>
      </c>
      <c r="AA32" s="32">
        <f t="shared" si="54"/>
        <v>44834</v>
      </c>
      <c r="AB32" s="33">
        <f t="shared" si="55"/>
        <v>44835</v>
      </c>
    </row>
    <row r="33" spans="2:30" ht="15" thickBot="1" x14ac:dyDescent="0.35">
      <c r="D33" s="34">
        <f t="shared" si="56"/>
        <v>44773</v>
      </c>
      <c r="E33" s="35">
        <f t="shared" si="57"/>
        <v>44774</v>
      </c>
      <c r="F33" s="35">
        <f t="shared" si="41"/>
        <v>44775</v>
      </c>
      <c r="G33" s="35">
        <f t="shared" si="42"/>
        <v>44776</v>
      </c>
      <c r="H33" s="35">
        <f t="shared" si="43"/>
        <v>44777</v>
      </c>
      <c r="I33" s="35">
        <f t="shared" si="44"/>
        <v>44778</v>
      </c>
      <c r="J33" s="36">
        <f t="shared" si="45"/>
        <v>44779</v>
      </c>
      <c r="M33" s="34">
        <f t="shared" si="58"/>
        <v>44808</v>
      </c>
      <c r="N33" s="35">
        <f t="shared" si="59"/>
        <v>44809</v>
      </c>
      <c r="O33" s="35">
        <f t="shared" si="46"/>
        <v>44810</v>
      </c>
      <c r="P33" s="35">
        <f t="shared" si="47"/>
        <v>44811</v>
      </c>
      <c r="Q33" s="35">
        <f t="shared" si="48"/>
        <v>44812</v>
      </c>
      <c r="R33" s="35">
        <f t="shared" si="49"/>
        <v>44813</v>
      </c>
      <c r="S33" s="36">
        <f t="shared" si="50"/>
        <v>44814</v>
      </c>
      <c r="V33" s="34">
        <f t="shared" si="60"/>
        <v>44836</v>
      </c>
      <c r="W33" s="35">
        <f t="shared" si="61"/>
        <v>44837</v>
      </c>
      <c r="X33" s="35">
        <f t="shared" si="51"/>
        <v>44838</v>
      </c>
      <c r="Y33" s="35">
        <f t="shared" si="52"/>
        <v>44839</v>
      </c>
      <c r="Z33" s="35">
        <f t="shared" si="53"/>
        <v>44840</v>
      </c>
      <c r="AA33" s="35">
        <f t="shared" si="54"/>
        <v>44841</v>
      </c>
      <c r="AB33" s="36">
        <f t="shared" si="55"/>
        <v>44842</v>
      </c>
    </row>
    <row r="34" spans="2:30" x14ac:dyDescent="0.3"/>
    <row r="35" spans="2:30" ht="15" thickBot="1" x14ac:dyDescent="0.35">
      <c r="D35" s="139" t="s">
        <v>83</v>
      </c>
      <c r="E35" s="139"/>
      <c r="F35" s="139"/>
      <c r="G35" s="139"/>
      <c r="H35" s="139"/>
      <c r="I35" s="139"/>
      <c r="J35" s="139"/>
      <c r="M35" s="139" t="s">
        <v>85</v>
      </c>
      <c r="N35" s="139"/>
      <c r="O35" s="139"/>
      <c r="P35" s="139"/>
      <c r="Q35" s="139"/>
      <c r="R35" s="139"/>
      <c r="S35" s="139"/>
      <c r="V35" s="139" t="s">
        <v>86</v>
      </c>
      <c r="W35" s="139"/>
      <c r="X35" s="139"/>
      <c r="Y35" s="139"/>
      <c r="Z35" s="139"/>
      <c r="AA35" s="139"/>
      <c r="AB35" s="139"/>
    </row>
    <row r="36" spans="2:30" ht="15" thickBot="1" x14ac:dyDescent="0.35">
      <c r="D36" s="25" t="s">
        <v>57</v>
      </c>
      <c r="E36" s="26" t="s">
        <v>58</v>
      </c>
      <c r="F36" s="26" t="s">
        <v>59</v>
      </c>
      <c r="G36" s="26" t="s">
        <v>60</v>
      </c>
      <c r="H36" s="26" t="s">
        <v>61</v>
      </c>
      <c r="I36" s="26" t="s">
        <v>62</v>
      </c>
      <c r="J36" s="27" t="s">
        <v>63</v>
      </c>
      <c r="M36" s="25" t="s">
        <v>57</v>
      </c>
      <c r="N36" s="26" t="s">
        <v>58</v>
      </c>
      <c r="O36" s="26" t="s">
        <v>59</v>
      </c>
      <c r="P36" s="26" t="s">
        <v>60</v>
      </c>
      <c r="Q36" s="26" t="s">
        <v>61</v>
      </c>
      <c r="R36" s="26" t="s">
        <v>62</v>
      </c>
      <c r="S36" s="27" t="s">
        <v>63</v>
      </c>
      <c r="V36" s="25" t="s">
        <v>57</v>
      </c>
      <c r="W36" s="26" t="s">
        <v>58</v>
      </c>
      <c r="X36" s="26" t="s">
        <v>59</v>
      </c>
      <c r="Y36" s="26" t="s">
        <v>60</v>
      </c>
      <c r="Z36" s="26" t="s">
        <v>61</v>
      </c>
      <c r="AA36" s="26" t="s">
        <v>62</v>
      </c>
      <c r="AB36" s="27" t="s">
        <v>63</v>
      </c>
    </row>
    <row r="37" spans="2:30" x14ac:dyDescent="0.3">
      <c r="D37" s="28">
        <f>G2-(WEEKDAY(G2)-1)</f>
        <v>44829</v>
      </c>
      <c r="E37" s="29">
        <f>IF(D37&lt;&gt;0,D37+1,E36+7)</f>
        <v>44830</v>
      </c>
      <c r="F37" s="29">
        <f t="shared" ref="F37:F42" si="62">IF(E37&lt;&gt;0,E37+1,F36+7)</f>
        <v>44831</v>
      </c>
      <c r="G37" s="29">
        <f t="shared" ref="G37:G42" si="63">IF(F37&lt;&gt;0,F37+1,G36+7)</f>
        <v>44832</v>
      </c>
      <c r="H37" s="29">
        <f t="shared" ref="H37:H42" si="64">IF(G37&lt;&gt;0,G37+1,H36+7)</f>
        <v>44833</v>
      </c>
      <c r="I37" s="29">
        <f t="shared" ref="I37:I42" si="65">IF(H37&lt;&gt;0,H37+1,I36+7)</f>
        <v>44834</v>
      </c>
      <c r="J37" s="30">
        <f t="shared" ref="J37:J42" si="66">IF(I37&lt;&gt;0,I37+1,J36+7)</f>
        <v>44835</v>
      </c>
      <c r="M37" s="28">
        <f>P2-(WEEKDAY(P2)-1)</f>
        <v>44864</v>
      </c>
      <c r="N37" s="29">
        <f>IF(M37&lt;&gt;0,M37+1,N36+7)</f>
        <v>44865</v>
      </c>
      <c r="O37" s="29">
        <f t="shared" ref="O37:O42" si="67">IF(N37&lt;&gt;0,N37+1,O36+7)</f>
        <v>44866</v>
      </c>
      <c r="P37" s="29">
        <f t="shared" ref="P37:P42" si="68">IF(O37&lt;&gt;0,O37+1,P36+7)</f>
        <v>44867</v>
      </c>
      <c r="Q37" s="29">
        <f t="shared" ref="Q37:Q42" si="69">IF(P37&lt;&gt;0,P37+1,Q36+7)</f>
        <v>44868</v>
      </c>
      <c r="R37" s="29">
        <f t="shared" ref="R37:R42" si="70">IF(Q37&lt;&gt;0,Q37+1,R36+7)</f>
        <v>44869</v>
      </c>
      <c r="S37" s="30">
        <f t="shared" ref="S37:S42" si="71">IF(R37&lt;&gt;0,R37+1,S36+7)</f>
        <v>44870</v>
      </c>
      <c r="V37" s="28">
        <f>Y2-(WEEKDAY(Y2)-1)</f>
        <v>44892</v>
      </c>
      <c r="W37" s="29">
        <f>IF(V37&lt;&gt;0,V37+1,W36+7)</f>
        <v>44893</v>
      </c>
      <c r="X37" s="29">
        <f t="shared" ref="X37:X42" si="72">IF(W37&lt;&gt;0,W37+1,X36+7)</f>
        <v>44894</v>
      </c>
      <c r="Y37" s="29">
        <f t="shared" ref="Y37:Y42" si="73">IF(X37&lt;&gt;0,X37+1,Y36+7)</f>
        <v>44895</v>
      </c>
      <c r="Z37" s="29">
        <f t="shared" ref="Z37:Z42" si="74">IF(Y37&lt;&gt;0,Y37+1,Z36+7)</f>
        <v>44896</v>
      </c>
      <c r="AA37" s="29">
        <f t="shared" ref="AA37:AA42" si="75">IF(Z37&lt;&gt;0,Z37+1,AA36+7)</f>
        <v>44897</v>
      </c>
      <c r="AB37" s="30">
        <f t="shared" ref="AB37:AB42" si="76">IF(AA37&lt;&gt;0,AA37+1,AB36+7)</f>
        <v>44898</v>
      </c>
    </row>
    <row r="38" spans="2:30" x14ac:dyDescent="0.3">
      <c r="D38" s="31">
        <f t="shared" ref="D38:D42" si="77">IF(C38&lt;&gt;0,C38+1,D37+7)</f>
        <v>44836</v>
      </c>
      <c r="E38" s="32">
        <f t="shared" ref="E38:E42" si="78">IF(D38&lt;&gt;0,D38+1,E37+7)</f>
        <v>44837</v>
      </c>
      <c r="F38" s="32">
        <f t="shared" si="62"/>
        <v>44838</v>
      </c>
      <c r="G38" s="32">
        <f t="shared" si="63"/>
        <v>44839</v>
      </c>
      <c r="H38" s="32">
        <f t="shared" si="64"/>
        <v>44840</v>
      </c>
      <c r="I38" s="32">
        <f t="shared" si="65"/>
        <v>44841</v>
      </c>
      <c r="J38" s="33">
        <f t="shared" si="66"/>
        <v>44842</v>
      </c>
      <c r="M38" s="31">
        <f t="shared" ref="M38:M42" si="79">IF(L38&lt;&gt;0,L38+1,M37+7)</f>
        <v>44871</v>
      </c>
      <c r="N38" s="32">
        <f t="shared" ref="N38:N42" si="80">IF(M38&lt;&gt;0,M38+1,N37+7)</f>
        <v>44872</v>
      </c>
      <c r="O38" s="32">
        <f t="shared" si="67"/>
        <v>44873</v>
      </c>
      <c r="P38" s="32">
        <f t="shared" si="68"/>
        <v>44874</v>
      </c>
      <c r="Q38" s="32">
        <f t="shared" si="69"/>
        <v>44875</v>
      </c>
      <c r="R38" s="32">
        <f t="shared" si="70"/>
        <v>44876</v>
      </c>
      <c r="S38" s="33">
        <f t="shared" si="71"/>
        <v>44877</v>
      </c>
      <c r="V38" s="31">
        <f t="shared" ref="V38:V42" si="81">IF(U38&lt;&gt;0,U38+1,V37+7)</f>
        <v>44899</v>
      </c>
      <c r="W38" s="32">
        <f t="shared" ref="W38:W42" si="82">IF(V38&lt;&gt;0,V38+1,W37+7)</f>
        <v>44900</v>
      </c>
      <c r="X38" s="32">
        <f t="shared" si="72"/>
        <v>44901</v>
      </c>
      <c r="Y38" s="32">
        <f t="shared" si="73"/>
        <v>44902</v>
      </c>
      <c r="Z38" s="32">
        <f t="shared" si="74"/>
        <v>44903</v>
      </c>
      <c r="AA38" s="32">
        <f t="shared" si="75"/>
        <v>44904</v>
      </c>
      <c r="AB38" s="33">
        <f t="shared" si="76"/>
        <v>44905</v>
      </c>
    </row>
    <row r="39" spans="2:30" x14ac:dyDescent="0.3">
      <c r="D39" s="31">
        <f t="shared" si="77"/>
        <v>44843</v>
      </c>
      <c r="E39" s="32">
        <f t="shared" si="78"/>
        <v>44844</v>
      </c>
      <c r="F39" s="32">
        <f t="shared" si="62"/>
        <v>44845</v>
      </c>
      <c r="G39" s="32">
        <f t="shared" si="63"/>
        <v>44846</v>
      </c>
      <c r="H39" s="32">
        <f t="shared" si="64"/>
        <v>44847</v>
      </c>
      <c r="I39" s="32">
        <f t="shared" si="65"/>
        <v>44848</v>
      </c>
      <c r="J39" s="33">
        <f t="shared" si="66"/>
        <v>44849</v>
      </c>
      <c r="M39" s="31">
        <f t="shared" si="79"/>
        <v>44878</v>
      </c>
      <c r="N39" s="32">
        <f t="shared" si="80"/>
        <v>44879</v>
      </c>
      <c r="O39" s="32">
        <f t="shared" si="67"/>
        <v>44880</v>
      </c>
      <c r="P39" s="32">
        <f t="shared" si="68"/>
        <v>44881</v>
      </c>
      <c r="Q39" s="32">
        <f t="shared" si="69"/>
        <v>44882</v>
      </c>
      <c r="R39" s="32">
        <f t="shared" si="70"/>
        <v>44883</v>
      </c>
      <c r="S39" s="33">
        <f t="shared" si="71"/>
        <v>44884</v>
      </c>
      <c r="V39" s="31">
        <f t="shared" si="81"/>
        <v>44906</v>
      </c>
      <c r="W39" s="32">
        <f t="shared" si="82"/>
        <v>44907</v>
      </c>
      <c r="X39" s="32">
        <f t="shared" si="72"/>
        <v>44908</v>
      </c>
      <c r="Y39" s="32">
        <f t="shared" si="73"/>
        <v>44909</v>
      </c>
      <c r="Z39" s="32">
        <f t="shared" si="74"/>
        <v>44910</v>
      </c>
      <c r="AA39" s="32">
        <f t="shared" si="75"/>
        <v>44911</v>
      </c>
      <c r="AB39" s="33">
        <f t="shared" si="76"/>
        <v>44912</v>
      </c>
    </row>
    <row r="40" spans="2:30" x14ac:dyDescent="0.3">
      <c r="D40" s="31">
        <f t="shared" si="77"/>
        <v>44850</v>
      </c>
      <c r="E40" s="32">
        <f t="shared" si="78"/>
        <v>44851</v>
      </c>
      <c r="F40" s="32">
        <f t="shared" si="62"/>
        <v>44852</v>
      </c>
      <c r="G40" s="32">
        <f t="shared" si="63"/>
        <v>44853</v>
      </c>
      <c r="H40" s="32">
        <f t="shared" si="64"/>
        <v>44854</v>
      </c>
      <c r="I40" s="32">
        <f t="shared" si="65"/>
        <v>44855</v>
      </c>
      <c r="J40" s="33">
        <f t="shared" si="66"/>
        <v>44856</v>
      </c>
      <c r="M40" s="31">
        <f t="shared" si="79"/>
        <v>44885</v>
      </c>
      <c r="N40" s="32">
        <f t="shared" si="80"/>
        <v>44886</v>
      </c>
      <c r="O40" s="32">
        <f t="shared" si="67"/>
        <v>44887</v>
      </c>
      <c r="P40" s="32">
        <f t="shared" si="68"/>
        <v>44888</v>
      </c>
      <c r="Q40" s="32">
        <f t="shared" si="69"/>
        <v>44889</v>
      </c>
      <c r="R40" s="32">
        <f t="shared" si="70"/>
        <v>44890</v>
      </c>
      <c r="S40" s="33">
        <f t="shared" si="71"/>
        <v>44891</v>
      </c>
      <c r="V40" s="31">
        <f t="shared" si="81"/>
        <v>44913</v>
      </c>
      <c r="W40" s="32">
        <f t="shared" si="82"/>
        <v>44914</v>
      </c>
      <c r="X40" s="32">
        <f t="shared" si="72"/>
        <v>44915</v>
      </c>
      <c r="Y40" s="32">
        <f t="shared" si="73"/>
        <v>44916</v>
      </c>
      <c r="Z40" s="32">
        <f t="shared" si="74"/>
        <v>44917</v>
      </c>
      <c r="AA40" s="32">
        <f t="shared" si="75"/>
        <v>44918</v>
      </c>
      <c r="AB40" s="33">
        <f t="shared" si="76"/>
        <v>44919</v>
      </c>
    </row>
    <row r="41" spans="2:30" x14ac:dyDescent="0.3">
      <c r="D41" s="31">
        <f t="shared" si="77"/>
        <v>44857</v>
      </c>
      <c r="E41" s="32">
        <f t="shared" si="78"/>
        <v>44858</v>
      </c>
      <c r="F41" s="32">
        <f t="shared" si="62"/>
        <v>44859</v>
      </c>
      <c r="G41" s="32">
        <f t="shared" si="63"/>
        <v>44860</v>
      </c>
      <c r="H41" s="32">
        <f t="shared" si="64"/>
        <v>44861</v>
      </c>
      <c r="I41" s="32">
        <f t="shared" si="65"/>
        <v>44862</v>
      </c>
      <c r="J41" s="33">
        <f t="shared" si="66"/>
        <v>44863</v>
      </c>
      <c r="M41" s="31">
        <f t="shared" si="79"/>
        <v>44892</v>
      </c>
      <c r="N41" s="32">
        <f t="shared" si="80"/>
        <v>44893</v>
      </c>
      <c r="O41" s="32">
        <f t="shared" si="67"/>
        <v>44894</v>
      </c>
      <c r="P41" s="32">
        <f t="shared" si="68"/>
        <v>44895</v>
      </c>
      <c r="Q41" s="32">
        <f t="shared" si="69"/>
        <v>44896</v>
      </c>
      <c r="R41" s="32">
        <f t="shared" si="70"/>
        <v>44897</v>
      </c>
      <c r="S41" s="33">
        <f t="shared" si="71"/>
        <v>44898</v>
      </c>
      <c r="V41" s="31">
        <f t="shared" si="81"/>
        <v>44920</v>
      </c>
      <c r="W41" s="32">
        <f t="shared" si="82"/>
        <v>44921</v>
      </c>
      <c r="X41" s="32">
        <f t="shared" si="72"/>
        <v>44922</v>
      </c>
      <c r="Y41" s="32">
        <f t="shared" si="73"/>
        <v>44923</v>
      </c>
      <c r="Z41" s="32">
        <f t="shared" si="74"/>
        <v>44924</v>
      </c>
      <c r="AA41" s="32">
        <f t="shared" si="75"/>
        <v>44925</v>
      </c>
      <c r="AB41" s="33">
        <f t="shared" si="76"/>
        <v>44926</v>
      </c>
    </row>
    <row r="42" spans="2:30" ht="15" thickBot="1" x14ac:dyDescent="0.35">
      <c r="D42" s="34">
        <f t="shared" si="77"/>
        <v>44864</v>
      </c>
      <c r="E42" s="35">
        <f t="shared" si="78"/>
        <v>44865</v>
      </c>
      <c r="F42" s="35">
        <f t="shared" si="62"/>
        <v>44866</v>
      </c>
      <c r="G42" s="35">
        <f t="shared" si="63"/>
        <v>44867</v>
      </c>
      <c r="H42" s="35">
        <f t="shared" si="64"/>
        <v>44868</v>
      </c>
      <c r="I42" s="35">
        <f t="shared" si="65"/>
        <v>44869</v>
      </c>
      <c r="J42" s="36">
        <f t="shared" si="66"/>
        <v>44870</v>
      </c>
      <c r="M42" s="34">
        <f t="shared" si="79"/>
        <v>44899</v>
      </c>
      <c r="N42" s="35">
        <f t="shared" si="80"/>
        <v>44900</v>
      </c>
      <c r="O42" s="35">
        <f t="shared" si="67"/>
        <v>44901</v>
      </c>
      <c r="P42" s="35">
        <f t="shared" si="68"/>
        <v>44902</v>
      </c>
      <c r="Q42" s="35">
        <f t="shared" si="69"/>
        <v>44903</v>
      </c>
      <c r="R42" s="35">
        <f t="shared" si="70"/>
        <v>44904</v>
      </c>
      <c r="S42" s="36">
        <f t="shared" si="71"/>
        <v>44905</v>
      </c>
      <c r="V42" s="34">
        <f t="shared" si="81"/>
        <v>44927</v>
      </c>
      <c r="W42" s="35">
        <f t="shared" si="82"/>
        <v>44928</v>
      </c>
      <c r="X42" s="35">
        <f t="shared" si="72"/>
        <v>44929</v>
      </c>
      <c r="Y42" s="35">
        <f t="shared" si="73"/>
        <v>44930</v>
      </c>
      <c r="Z42" s="35">
        <f t="shared" si="74"/>
        <v>44931</v>
      </c>
      <c r="AA42" s="35">
        <f t="shared" si="75"/>
        <v>44932</v>
      </c>
      <c r="AB42" s="36">
        <f t="shared" si="76"/>
        <v>44933</v>
      </c>
    </row>
    <row r="43" spans="2:30" x14ac:dyDescent="0.3"/>
    <row r="44" spans="2:30" x14ac:dyDescent="0.3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</row>
    <row r="45" spans="2:30" x14ac:dyDescent="0.3"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</row>
    <row r="46" spans="2:30" x14ac:dyDescent="0.3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</row>
  </sheetData>
  <mergeCells count="14">
    <mergeCell ref="D35:J35"/>
    <mergeCell ref="M35:S35"/>
    <mergeCell ref="V35:AB35"/>
    <mergeCell ref="M6:S6"/>
    <mergeCell ref="D6:E6"/>
    <mergeCell ref="D8:J8"/>
    <mergeCell ref="M8:S8"/>
    <mergeCell ref="V8:AB8"/>
    <mergeCell ref="D17:J17"/>
    <mergeCell ref="D26:J26"/>
    <mergeCell ref="M26:S26"/>
    <mergeCell ref="M17:S17"/>
    <mergeCell ref="V17:AB17"/>
    <mergeCell ref="V26:AB26"/>
  </mergeCells>
  <conditionalFormatting sqref="D10:J15">
    <cfRule type="expression" dxfId="11" priority="19">
      <formula>MONTH(D10)&lt;&gt;MONTH($D$2)</formula>
    </cfRule>
  </conditionalFormatting>
  <conditionalFormatting sqref="M10:S15">
    <cfRule type="expression" dxfId="10" priority="7">
      <formula>MONTH(M10)&lt;&gt;MONTH($M$2)</formula>
    </cfRule>
  </conditionalFormatting>
  <conditionalFormatting sqref="V10:AB15">
    <cfRule type="expression" dxfId="9" priority="17">
      <formula>MONTH(V10)&lt;&gt;MONTH($V$2)</formula>
    </cfRule>
  </conditionalFormatting>
  <conditionalFormatting sqref="D19:J24">
    <cfRule type="expression" dxfId="8" priority="16">
      <formula>MONTH(D19)&lt;&gt;MONTH($E$2)</formula>
    </cfRule>
  </conditionalFormatting>
  <conditionalFormatting sqref="D28:J33">
    <cfRule type="expression" dxfId="7" priority="13">
      <formula>MONTH(D28)&lt;&gt;MONTH($F$2)</formula>
    </cfRule>
  </conditionalFormatting>
  <conditionalFormatting sqref="D37:J42">
    <cfRule type="expression" dxfId="6" priority="10">
      <formula>MONTH(D37)&lt;&gt;MONTH($G$2)</formula>
    </cfRule>
  </conditionalFormatting>
  <conditionalFormatting sqref="M19:S24">
    <cfRule type="expression" dxfId="5" priority="6">
      <formula>MONTH(M19)&lt;&gt;MONTH($N$2)</formula>
    </cfRule>
  </conditionalFormatting>
  <conditionalFormatting sqref="V19:AB24">
    <cfRule type="expression" dxfId="4" priority="5">
      <formula>MONTH(V19)&lt;&gt;MONTH($W$2)</formula>
    </cfRule>
  </conditionalFormatting>
  <conditionalFormatting sqref="M28:S33">
    <cfRule type="expression" dxfId="3" priority="4">
      <formula>MONTH(M28)&lt;&gt;MONTH($O$2)</formula>
    </cfRule>
  </conditionalFormatting>
  <conditionalFormatting sqref="V28:AB33">
    <cfRule type="expression" dxfId="2" priority="3">
      <formula>MONTH(V28)&lt;&gt;MONTH($X$2)</formula>
    </cfRule>
  </conditionalFormatting>
  <conditionalFormatting sqref="M37:S42">
    <cfRule type="expression" dxfId="1" priority="2">
      <formula>MONTH(M37)&lt;&gt;MONTH($P$2)</formula>
    </cfRule>
  </conditionalFormatting>
  <conditionalFormatting sqref="V37:AB42">
    <cfRule type="expression" dxfId="0" priority="1">
      <formula>MONTH(V37)&lt;&gt;MONTH($Y$2)</formula>
    </cfRule>
  </conditionalFormatting>
  <pageMargins left="0.7" right="0.7" top="0.75" bottom="0.75" header="0.3" footer="0.3"/>
  <ignoredErrors>
    <ignoredError sqref="N2" formula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Home</vt:lpstr>
      <vt:lpstr>Setup</vt:lpstr>
      <vt:lpstr>DSNV</vt:lpstr>
      <vt:lpstr>T1</vt:lpstr>
      <vt:lpstr>T2</vt:lpstr>
      <vt:lpstr>T3</vt:lpstr>
      <vt:lpstr>T4</vt:lpstr>
      <vt:lpstr>T5</vt:lpstr>
      <vt:lpstr>T6</vt:lpstr>
      <vt:lpstr>T7</vt:lpstr>
      <vt:lpstr>T8</vt:lpstr>
      <vt:lpstr>T9</vt:lpstr>
      <vt:lpstr>T10</vt:lpstr>
      <vt:lpstr>T11</vt:lpstr>
      <vt:lpstr>T12</vt:lpstr>
      <vt:lpstr>PivotTable</vt:lpstr>
      <vt:lpstr>RP_All</vt:lpstr>
      <vt:lpstr>RP_1</vt:lpstr>
      <vt:lpstr>Payroll</vt:lpstr>
      <vt:lpstr>Paycheck</vt:lpstr>
      <vt:lpstr>Calendar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MINH</cp:lastModifiedBy>
  <dcterms:created xsi:type="dcterms:W3CDTF">2021-09-07T02:50:43Z</dcterms:created>
  <dcterms:modified xsi:type="dcterms:W3CDTF">2022-02-03T02:20:41Z</dcterms:modified>
</cp:coreProperties>
</file>